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EE230\Lab04\"/>
    </mc:Choice>
  </mc:AlternateContent>
  <xr:revisionPtr revIDLastSave="0" documentId="13_ncr:1_{2C136166-80E2-4AE2-9156-0A23FEED14C1}" xr6:coauthVersionLast="47" xr6:coauthVersionMax="47" xr10:uidLastSave="{00000000-0000-0000-0000-000000000000}"/>
  <bookViews>
    <workbookView xWindow="0" yWindow="555" windowWidth="21600" windowHeight="12645" xr2:uid="{9274C1F2-25F2-4014-8A28-C5EBA4EA854A}"/>
  </bookViews>
  <sheets>
    <sheet name="lab4_part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</calcChain>
</file>

<file path=xl/sharedStrings.xml><?xml version="1.0" encoding="utf-8"?>
<sst xmlns="http://schemas.openxmlformats.org/spreadsheetml/2006/main" count="9" uniqueCount="9">
  <si>
    <t>Frequency (Hz)</t>
  </si>
  <si>
    <t xml:space="preserve"> Magnitude (dB)</t>
  </si>
  <si>
    <t xml:space="preserve"> Magnitude (V/V)</t>
  </si>
  <si>
    <t xml:space="preserve"> Vout (Vpeak)</t>
  </si>
  <si>
    <t xml:space="preserve"> Vin(Vpeak)</t>
  </si>
  <si>
    <t xml:space="preserve"> Phase (Rad)</t>
  </si>
  <si>
    <t>Calculated Magnitude</t>
  </si>
  <si>
    <t>Calculated Phase</t>
  </si>
  <si>
    <t>Phase 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</si>
</sst>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lab4_parta1!$C$1</c:f>
              <c:strCache>
                <c:ptCount val="1"/>
                <c:pt idx="0">
                  <c:v> Magnitude (V/V)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lab4_parta1!$A$1:$A$47</c:f>
              <c:strCache>
                <c:ptCount val="47"/>
                <c:pt idx="0">
                  <c:v>Frequency (Hz)</c:v>
                </c:pt>
                <c:pt idx="1">
                  <c:v>100</c:v>
                </c:pt>
                <c:pt idx="2">
                  <c:v>116.6</c:v>
                </c:pt>
                <c:pt idx="3">
                  <c:v>135.9</c:v>
                </c:pt>
                <c:pt idx="4">
                  <c:v>158.5</c:v>
                </c:pt>
                <c:pt idx="5">
                  <c:v>184.8</c:v>
                </c:pt>
                <c:pt idx="6">
                  <c:v>215.4</c:v>
                </c:pt>
                <c:pt idx="7">
                  <c:v>251.2</c:v>
                </c:pt>
                <c:pt idx="8">
                  <c:v>292.9</c:v>
                </c:pt>
                <c:pt idx="9">
                  <c:v>341.5</c:v>
                </c:pt>
                <c:pt idx="10">
                  <c:v>398.1</c:v>
                </c:pt>
                <c:pt idx="11">
                  <c:v>464.2</c:v>
                </c:pt>
                <c:pt idx="12">
                  <c:v>541.2</c:v>
                </c:pt>
                <c:pt idx="13">
                  <c:v>631</c:v>
                </c:pt>
                <c:pt idx="14">
                  <c:v>735.6</c:v>
                </c:pt>
                <c:pt idx="15">
                  <c:v>857.7</c:v>
                </c:pt>
                <c:pt idx="16">
                  <c:v>1000</c:v>
                </c:pt>
                <c:pt idx="17">
                  <c:v>1166</c:v>
                </c:pt>
                <c:pt idx="18">
                  <c:v>1359</c:v>
                </c:pt>
                <c:pt idx="19">
                  <c:v>1585</c:v>
                </c:pt>
                <c:pt idx="20">
                  <c:v>1848</c:v>
                </c:pt>
                <c:pt idx="21">
                  <c:v>2154</c:v>
                </c:pt>
                <c:pt idx="22">
                  <c:v>2512</c:v>
                </c:pt>
                <c:pt idx="23">
                  <c:v>2929</c:v>
                </c:pt>
                <c:pt idx="24">
                  <c:v>3415</c:v>
                </c:pt>
                <c:pt idx="25">
                  <c:v>3981</c:v>
                </c:pt>
                <c:pt idx="26">
                  <c:v>4642</c:v>
                </c:pt>
                <c:pt idx="27">
                  <c:v>5412</c:v>
                </c:pt>
                <c:pt idx="28">
                  <c:v>6310</c:v>
                </c:pt>
                <c:pt idx="29">
                  <c:v>7356</c:v>
                </c:pt>
                <c:pt idx="30">
                  <c:v>8577</c:v>
                </c:pt>
                <c:pt idx="31">
                  <c:v>10000</c:v>
                </c:pt>
                <c:pt idx="32">
                  <c:v>11660</c:v>
                </c:pt>
                <c:pt idx="33">
                  <c:v>13590</c:v>
                </c:pt>
                <c:pt idx="34">
                  <c:v>15850</c:v>
                </c:pt>
                <c:pt idx="35">
                  <c:v>18480</c:v>
                </c:pt>
                <c:pt idx="36">
                  <c:v>21540</c:v>
                </c:pt>
                <c:pt idx="37">
                  <c:v>25120</c:v>
                </c:pt>
                <c:pt idx="38">
                  <c:v>29290</c:v>
                </c:pt>
                <c:pt idx="39">
                  <c:v>34150</c:v>
                </c:pt>
                <c:pt idx="40">
                  <c:v>39810</c:v>
                </c:pt>
                <c:pt idx="41">
                  <c:v>46420</c:v>
                </c:pt>
                <c:pt idx="42">
                  <c:v>54120</c:v>
                </c:pt>
                <c:pt idx="43">
                  <c:v>63100</c:v>
                </c:pt>
                <c:pt idx="44">
                  <c:v>73560</c:v>
                </c:pt>
                <c:pt idx="45">
                  <c:v>85770</c:v>
                </c:pt>
                <c:pt idx="46">
                  <c:v>100000</c:v>
                </c:pt>
              </c:strCache>
            </c:strRef>
          </c:xVal>
          <c:yVal>
            <c:numRef>
              <c:f>lab4_parta1!$C$2:$C$47</c:f>
              <c:numCache>
                <c:formatCode>General</c:formatCode>
                <c:ptCount val="46"/>
                <c:pt idx="0">
                  <c:v>4.5081199999999999</c:v>
                </c:pt>
                <c:pt idx="1">
                  <c:v>4.5056399999999996</c:v>
                </c:pt>
                <c:pt idx="2">
                  <c:v>4.5016509999999998</c:v>
                </c:pt>
                <c:pt idx="3">
                  <c:v>4.4959179999999996</c:v>
                </c:pt>
                <c:pt idx="4">
                  <c:v>4.4884399999999998</c:v>
                </c:pt>
                <c:pt idx="5">
                  <c:v>4.47811</c:v>
                </c:pt>
                <c:pt idx="6">
                  <c:v>4.46401</c:v>
                </c:pt>
                <c:pt idx="7">
                  <c:v>4.4452119999999997</c:v>
                </c:pt>
                <c:pt idx="8">
                  <c:v>4.4204299999999996</c:v>
                </c:pt>
                <c:pt idx="9">
                  <c:v>4.3878870000000001</c:v>
                </c:pt>
                <c:pt idx="10">
                  <c:v>4.3452830000000002</c:v>
                </c:pt>
                <c:pt idx="11">
                  <c:v>4.2901569999999998</c:v>
                </c:pt>
                <c:pt idx="12">
                  <c:v>4.2186500000000002</c:v>
                </c:pt>
                <c:pt idx="13">
                  <c:v>4.1276330000000003</c:v>
                </c:pt>
                <c:pt idx="14">
                  <c:v>4.013223</c:v>
                </c:pt>
                <c:pt idx="15">
                  <c:v>3.873148</c:v>
                </c:pt>
                <c:pt idx="16">
                  <c:v>3.7044350000000001</c:v>
                </c:pt>
                <c:pt idx="17">
                  <c:v>3.5080049999999998</c:v>
                </c:pt>
                <c:pt idx="18">
                  <c:v>3.2843339999999999</c:v>
                </c:pt>
                <c:pt idx="19">
                  <c:v>3.0418699999999999</c:v>
                </c:pt>
                <c:pt idx="20">
                  <c:v>2.7846669999999998</c:v>
                </c:pt>
                <c:pt idx="21">
                  <c:v>2.522748</c:v>
                </c:pt>
                <c:pt idx="22">
                  <c:v>2.262607</c:v>
                </c:pt>
                <c:pt idx="23">
                  <c:v>2.0121389999999999</c:v>
                </c:pt>
                <c:pt idx="24">
                  <c:v>1.7687919999999999</c:v>
                </c:pt>
                <c:pt idx="25">
                  <c:v>1.5496319999999999</c:v>
                </c:pt>
                <c:pt idx="26">
                  <c:v>1.3532850000000001</c:v>
                </c:pt>
                <c:pt idx="27">
                  <c:v>1.1781969999999999</c:v>
                </c:pt>
                <c:pt idx="28">
                  <c:v>1.0218579999999999</c:v>
                </c:pt>
                <c:pt idx="29">
                  <c:v>0.88458700000000001</c:v>
                </c:pt>
                <c:pt idx="30">
                  <c:v>0.76677099999999998</c:v>
                </c:pt>
                <c:pt idx="31">
                  <c:v>0.66132400000000002</c:v>
                </c:pt>
                <c:pt idx="32">
                  <c:v>0.56763699999999995</c:v>
                </c:pt>
                <c:pt idx="33">
                  <c:v>0.48718899999999998</c:v>
                </c:pt>
                <c:pt idx="34">
                  <c:v>0.41917399999999999</c:v>
                </c:pt>
                <c:pt idx="35">
                  <c:v>0.362734</c:v>
                </c:pt>
                <c:pt idx="36">
                  <c:v>0.309861</c:v>
                </c:pt>
                <c:pt idx="37">
                  <c:v>0.26629599999999998</c:v>
                </c:pt>
                <c:pt idx="38">
                  <c:v>0.22880900000000001</c:v>
                </c:pt>
                <c:pt idx="39">
                  <c:v>0.197523</c:v>
                </c:pt>
                <c:pt idx="40">
                  <c:v>0.16970499999999999</c:v>
                </c:pt>
                <c:pt idx="41">
                  <c:v>0.14541999999999999</c:v>
                </c:pt>
                <c:pt idx="42">
                  <c:v>0.12521699999999999</c:v>
                </c:pt>
                <c:pt idx="43">
                  <c:v>0.10764899999999999</c:v>
                </c:pt>
                <c:pt idx="44">
                  <c:v>9.3206999999999998E-2</c:v>
                </c:pt>
                <c:pt idx="45">
                  <c:v>8.0167000000000002E-2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14-49F8-B984-872D1193418C}"/>
            </c:ext>
          </c:extLst>
        </c:ser>
        <c:ser>
          <c:idx val="2"/>
          <c:order val="2"/>
          <c:tx>
            <c:strRef>
              <c:f>lab4_parta1!$H$1</c:f>
              <c:strCache>
                <c:ptCount val="1"/>
                <c:pt idx="0">
                  <c:v>Calculated Magnitude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lab4_parta1!$A$1:$A$47</c:f>
              <c:strCache>
                <c:ptCount val="47"/>
                <c:pt idx="0">
                  <c:v>Frequency (Hz)</c:v>
                </c:pt>
                <c:pt idx="1">
                  <c:v>100</c:v>
                </c:pt>
                <c:pt idx="2">
                  <c:v>116.6</c:v>
                </c:pt>
                <c:pt idx="3">
                  <c:v>135.9</c:v>
                </c:pt>
                <c:pt idx="4">
                  <c:v>158.5</c:v>
                </c:pt>
                <c:pt idx="5">
                  <c:v>184.8</c:v>
                </c:pt>
                <c:pt idx="6">
                  <c:v>215.4</c:v>
                </c:pt>
                <c:pt idx="7">
                  <c:v>251.2</c:v>
                </c:pt>
                <c:pt idx="8">
                  <c:v>292.9</c:v>
                </c:pt>
                <c:pt idx="9">
                  <c:v>341.5</c:v>
                </c:pt>
                <c:pt idx="10">
                  <c:v>398.1</c:v>
                </c:pt>
                <c:pt idx="11">
                  <c:v>464.2</c:v>
                </c:pt>
                <c:pt idx="12">
                  <c:v>541.2</c:v>
                </c:pt>
                <c:pt idx="13">
                  <c:v>631</c:v>
                </c:pt>
                <c:pt idx="14">
                  <c:v>735.6</c:v>
                </c:pt>
                <c:pt idx="15">
                  <c:v>857.7</c:v>
                </c:pt>
                <c:pt idx="16">
                  <c:v>1000</c:v>
                </c:pt>
                <c:pt idx="17">
                  <c:v>1166</c:v>
                </c:pt>
                <c:pt idx="18">
                  <c:v>1359</c:v>
                </c:pt>
                <c:pt idx="19">
                  <c:v>1585</c:v>
                </c:pt>
                <c:pt idx="20">
                  <c:v>1848</c:v>
                </c:pt>
                <c:pt idx="21">
                  <c:v>2154</c:v>
                </c:pt>
                <c:pt idx="22">
                  <c:v>2512</c:v>
                </c:pt>
                <c:pt idx="23">
                  <c:v>2929</c:v>
                </c:pt>
                <c:pt idx="24">
                  <c:v>3415</c:v>
                </c:pt>
                <c:pt idx="25">
                  <c:v>3981</c:v>
                </c:pt>
                <c:pt idx="26">
                  <c:v>4642</c:v>
                </c:pt>
                <c:pt idx="27">
                  <c:v>5412</c:v>
                </c:pt>
                <c:pt idx="28">
                  <c:v>6310</c:v>
                </c:pt>
                <c:pt idx="29">
                  <c:v>7356</c:v>
                </c:pt>
                <c:pt idx="30">
                  <c:v>8577</c:v>
                </c:pt>
                <c:pt idx="31">
                  <c:v>10000</c:v>
                </c:pt>
                <c:pt idx="32">
                  <c:v>11660</c:v>
                </c:pt>
                <c:pt idx="33">
                  <c:v>13590</c:v>
                </c:pt>
                <c:pt idx="34">
                  <c:v>15850</c:v>
                </c:pt>
                <c:pt idx="35">
                  <c:v>18480</c:v>
                </c:pt>
                <c:pt idx="36">
                  <c:v>21540</c:v>
                </c:pt>
                <c:pt idx="37">
                  <c:v>25120</c:v>
                </c:pt>
                <c:pt idx="38">
                  <c:v>29290</c:v>
                </c:pt>
                <c:pt idx="39">
                  <c:v>34150</c:v>
                </c:pt>
                <c:pt idx="40">
                  <c:v>39810</c:v>
                </c:pt>
                <c:pt idx="41">
                  <c:v>46420</c:v>
                </c:pt>
                <c:pt idx="42">
                  <c:v>54120</c:v>
                </c:pt>
                <c:pt idx="43">
                  <c:v>63100</c:v>
                </c:pt>
                <c:pt idx="44">
                  <c:v>73560</c:v>
                </c:pt>
                <c:pt idx="45">
                  <c:v>85770</c:v>
                </c:pt>
                <c:pt idx="46">
                  <c:v>100000</c:v>
                </c:pt>
              </c:strCache>
            </c:strRef>
          </c:xVal>
          <c:yVal>
            <c:numRef>
              <c:f>lab4_parta1!$H$2:$H$47</c:f>
              <c:numCache>
                <c:formatCode>General</c:formatCode>
                <c:ptCount val="46"/>
                <c:pt idx="0">
                  <c:v>4.5453648245862608</c:v>
                </c:pt>
                <c:pt idx="1">
                  <c:v>4.5453325662082866</c:v>
                </c:pt>
                <c:pt idx="2">
                  <c:v>4.5452888458423777</c:v>
                </c:pt>
                <c:pt idx="3">
                  <c:v>4.5452291565376148</c:v>
                </c:pt>
                <c:pt idx="4">
                  <c:v>4.5451481612664084</c:v>
                </c:pt>
                <c:pt idx="5">
                  <c:v>4.5450383109608135</c:v>
                </c:pt>
                <c:pt idx="6">
                  <c:v>4.5448884828512925</c:v>
                </c:pt>
                <c:pt idx="7">
                  <c:v>4.5446849991272495</c:v>
                </c:pt>
                <c:pt idx="8">
                  <c:v>4.5444085306998101</c:v>
                </c:pt>
                <c:pt idx="9">
                  <c:v>4.5440332415559226</c:v>
                </c:pt>
                <c:pt idx="10">
                  <c:v>4.5435224008763537</c:v>
                </c:pt>
                <c:pt idx="11">
                  <c:v>4.5428288432588957</c:v>
                </c:pt>
                <c:pt idx="12">
                  <c:v>4.5418863106796463</c:v>
                </c:pt>
                <c:pt idx="13">
                  <c:v>4.5406073041272785</c:v>
                </c:pt>
                <c:pt idx="14">
                  <c:v>4.5388683830148251</c:v>
                </c:pt>
                <c:pt idx="15">
                  <c:v>4.5365086719026966</c:v>
                </c:pt>
                <c:pt idx="16">
                  <c:v>4.5333050156442543</c:v>
                </c:pt>
                <c:pt idx="17">
                  <c:v>4.5289737469450593</c:v>
                </c:pt>
                <c:pt idx="18">
                  <c:v>4.5230802689112126</c:v>
                </c:pt>
                <c:pt idx="19">
                  <c:v>4.5151194259303828</c:v>
                </c:pt>
                <c:pt idx="20">
                  <c:v>4.5043886723503039</c:v>
                </c:pt>
                <c:pt idx="21">
                  <c:v>4.4898740217956563</c:v>
                </c:pt>
                <c:pt idx="22">
                  <c:v>4.470382025817103</c:v>
                </c:pt>
                <c:pt idx="23">
                  <c:v>4.444296865991566</c:v>
                </c:pt>
                <c:pt idx="24">
                  <c:v>4.4096001970612431</c:v>
                </c:pt>
                <c:pt idx="25">
                  <c:v>4.3636380656551763</c:v>
                </c:pt>
                <c:pt idx="26">
                  <c:v>4.3034525325531376</c:v>
                </c:pt>
                <c:pt idx="27">
                  <c:v>4.2254743688944112</c:v>
                </c:pt>
                <c:pt idx="28">
                  <c:v>4.1260635222046602</c:v>
                </c:pt>
                <c:pt idx="29">
                  <c:v>4.0013948131789947</c:v>
                </c:pt>
                <c:pt idx="30">
                  <c:v>3.8487873563575796</c:v>
                </c:pt>
                <c:pt idx="31">
                  <c:v>3.6667262999870482</c:v>
                </c:pt>
                <c:pt idx="32">
                  <c:v>3.4567262124852025</c:v>
                </c:pt>
                <c:pt idx="33">
                  <c:v>3.2207431392672596</c:v>
                </c:pt>
                <c:pt idx="34">
                  <c:v>2.9662469486826533</c:v>
                </c:pt>
                <c:pt idx="35">
                  <c:v>2.7011890126252331</c:v>
                </c:pt>
                <c:pt idx="36">
                  <c:v>2.4327284686656241</c:v>
                </c:pt>
                <c:pt idx="37">
                  <c:v>2.1702023938869197</c:v>
                </c:pt>
                <c:pt idx="38">
                  <c:v>1.9201102199989475</c:v>
                </c:pt>
                <c:pt idx="39">
                  <c:v>1.6873632467686057</c:v>
                </c:pt>
                <c:pt idx="40">
                  <c:v>1.4742080370422681</c:v>
                </c:pt>
                <c:pt idx="41">
                  <c:v>1.2824155456861308</c:v>
                </c:pt>
                <c:pt idx="42">
                  <c:v>1.111669144117069</c:v>
                </c:pt>
                <c:pt idx="43">
                  <c:v>0.96121766335805736</c:v>
                </c:pt>
                <c:pt idx="44">
                  <c:v>0.82929930646300809</c:v>
                </c:pt>
                <c:pt idx="45">
                  <c:v>0.71444024981539123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14-49F8-B984-872D11934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690687"/>
        <c:axId val="15176849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lab4_parta1!$A$1</c15:sqref>
                        </c15:formulaRef>
                      </c:ext>
                    </c:extLst>
                    <c:strCache>
                      <c:ptCount val="1"/>
                      <c:pt idx="0">
                        <c:v>Frequency (Hz)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lab4_parta1!$A$1:$A$47</c15:sqref>
                        </c15:formulaRef>
                      </c:ext>
                    </c:extLst>
                    <c:strCache>
                      <c:ptCount val="47"/>
                      <c:pt idx="0">
                        <c:v>Frequency (Hz)</c:v>
                      </c:pt>
                      <c:pt idx="1">
                        <c:v>100</c:v>
                      </c:pt>
                      <c:pt idx="2">
                        <c:v>116.6</c:v>
                      </c:pt>
                      <c:pt idx="3">
                        <c:v>135.9</c:v>
                      </c:pt>
                      <c:pt idx="4">
                        <c:v>158.5</c:v>
                      </c:pt>
                      <c:pt idx="5">
                        <c:v>184.8</c:v>
                      </c:pt>
                      <c:pt idx="6">
                        <c:v>215.4</c:v>
                      </c:pt>
                      <c:pt idx="7">
                        <c:v>251.2</c:v>
                      </c:pt>
                      <c:pt idx="8">
                        <c:v>292.9</c:v>
                      </c:pt>
                      <c:pt idx="9">
                        <c:v>341.5</c:v>
                      </c:pt>
                      <c:pt idx="10">
                        <c:v>398.1</c:v>
                      </c:pt>
                      <c:pt idx="11">
                        <c:v>464.2</c:v>
                      </c:pt>
                      <c:pt idx="12">
                        <c:v>541.2</c:v>
                      </c:pt>
                      <c:pt idx="13">
                        <c:v>631</c:v>
                      </c:pt>
                      <c:pt idx="14">
                        <c:v>735.6</c:v>
                      </c:pt>
                      <c:pt idx="15">
                        <c:v>857.7</c:v>
                      </c:pt>
                      <c:pt idx="16">
                        <c:v>1000</c:v>
                      </c:pt>
                      <c:pt idx="17">
                        <c:v>1166</c:v>
                      </c:pt>
                      <c:pt idx="18">
                        <c:v>1359</c:v>
                      </c:pt>
                      <c:pt idx="19">
                        <c:v>1585</c:v>
                      </c:pt>
                      <c:pt idx="20">
                        <c:v>1848</c:v>
                      </c:pt>
                      <c:pt idx="21">
                        <c:v>2154</c:v>
                      </c:pt>
                      <c:pt idx="22">
                        <c:v>2512</c:v>
                      </c:pt>
                      <c:pt idx="23">
                        <c:v>2929</c:v>
                      </c:pt>
                      <c:pt idx="24">
                        <c:v>3415</c:v>
                      </c:pt>
                      <c:pt idx="25">
                        <c:v>3981</c:v>
                      </c:pt>
                      <c:pt idx="26">
                        <c:v>4642</c:v>
                      </c:pt>
                      <c:pt idx="27">
                        <c:v>5412</c:v>
                      </c:pt>
                      <c:pt idx="28">
                        <c:v>6310</c:v>
                      </c:pt>
                      <c:pt idx="29">
                        <c:v>7356</c:v>
                      </c:pt>
                      <c:pt idx="30">
                        <c:v>8577</c:v>
                      </c:pt>
                      <c:pt idx="31">
                        <c:v>10000</c:v>
                      </c:pt>
                      <c:pt idx="32">
                        <c:v>11660</c:v>
                      </c:pt>
                      <c:pt idx="33">
                        <c:v>13590</c:v>
                      </c:pt>
                      <c:pt idx="34">
                        <c:v>15850</c:v>
                      </c:pt>
                      <c:pt idx="35">
                        <c:v>18480</c:v>
                      </c:pt>
                      <c:pt idx="36">
                        <c:v>21540</c:v>
                      </c:pt>
                      <c:pt idx="37">
                        <c:v>25120</c:v>
                      </c:pt>
                      <c:pt idx="38">
                        <c:v>29290</c:v>
                      </c:pt>
                      <c:pt idx="39">
                        <c:v>34150</c:v>
                      </c:pt>
                      <c:pt idx="40">
                        <c:v>39810</c:v>
                      </c:pt>
                      <c:pt idx="41">
                        <c:v>46420</c:v>
                      </c:pt>
                      <c:pt idx="42">
                        <c:v>54120</c:v>
                      </c:pt>
                      <c:pt idx="43">
                        <c:v>63100</c:v>
                      </c:pt>
                      <c:pt idx="44">
                        <c:v>73560</c:v>
                      </c:pt>
                      <c:pt idx="45">
                        <c:v>85770</c:v>
                      </c:pt>
                      <c:pt idx="46">
                        <c:v>100000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lab4_parta1!$A$2:$A$47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0">
                        <c:v>100</c:v>
                      </c:pt>
                      <c:pt idx="1">
                        <c:v>116.6</c:v>
                      </c:pt>
                      <c:pt idx="2">
                        <c:v>135.9</c:v>
                      </c:pt>
                      <c:pt idx="3">
                        <c:v>158.5</c:v>
                      </c:pt>
                      <c:pt idx="4">
                        <c:v>184.8</c:v>
                      </c:pt>
                      <c:pt idx="5">
                        <c:v>215.4</c:v>
                      </c:pt>
                      <c:pt idx="6">
                        <c:v>251.2</c:v>
                      </c:pt>
                      <c:pt idx="7">
                        <c:v>292.89999999999998</c:v>
                      </c:pt>
                      <c:pt idx="8">
                        <c:v>341.5</c:v>
                      </c:pt>
                      <c:pt idx="9">
                        <c:v>398.1</c:v>
                      </c:pt>
                      <c:pt idx="10">
                        <c:v>464.2</c:v>
                      </c:pt>
                      <c:pt idx="11">
                        <c:v>541.20000000000005</c:v>
                      </c:pt>
                      <c:pt idx="12">
                        <c:v>631</c:v>
                      </c:pt>
                      <c:pt idx="13">
                        <c:v>735.6</c:v>
                      </c:pt>
                      <c:pt idx="14">
                        <c:v>857.7</c:v>
                      </c:pt>
                      <c:pt idx="15">
                        <c:v>1000</c:v>
                      </c:pt>
                      <c:pt idx="16">
                        <c:v>1166</c:v>
                      </c:pt>
                      <c:pt idx="17">
                        <c:v>1359</c:v>
                      </c:pt>
                      <c:pt idx="18">
                        <c:v>1585</c:v>
                      </c:pt>
                      <c:pt idx="19">
                        <c:v>1848</c:v>
                      </c:pt>
                      <c:pt idx="20">
                        <c:v>2154</c:v>
                      </c:pt>
                      <c:pt idx="21">
                        <c:v>2512</c:v>
                      </c:pt>
                      <c:pt idx="22">
                        <c:v>2929</c:v>
                      </c:pt>
                      <c:pt idx="23">
                        <c:v>3415</c:v>
                      </c:pt>
                      <c:pt idx="24">
                        <c:v>3981</c:v>
                      </c:pt>
                      <c:pt idx="25">
                        <c:v>4642</c:v>
                      </c:pt>
                      <c:pt idx="26">
                        <c:v>5412</c:v>
                      </c:pt>
                      <c:pt idx="27">
                        <c:v>6310</c:v>
                      </c:pt>
                      <c:pt idx="28">
                        <c:v>7356</c:v>
                      </c:pt>
                      <c:pt idx="29">
                        <c:v>8577</c:v>
                      </c:pt>
                      <c:pt idx="30">
                        <c:v>10000</c:v>
                      </c:pt>
                      <c:pt idx="31">
                        <c:v>11660</c:v>
                      </c:pt>
                      <c:pt idx="32">
                        <c:v>13590</c:v>
                      </c:pt>
                      <c:pt idx="33">
                        <c:v>15850</c:v>
                      </c:pt>
                      <c:pt idx="34">
                        <c:v>18480</c:v>
                      </c:pt>
                      <c:pt idx="35">
                        <c:v>21540</c:v>
                      </c:pt>
                      <c:pt idx="36">
                        <c:v>25120</c:v>
                      </c:pt>
                      <c:pt idx="37">
                        <c:v>29290</c:v>
                      </c:pt>
                      <c:pt idx="38">
                        <c:v>34150</c:v>
                      </c:pt>
                      <c:pt idx="39">
                        <c:v>39810</c:v>
                      </c:pt>
                      <c:pt idx="40">
                        <c:v>46420</c:v>
                      </c:pt>
                      <c:pt idx="41">
                        <c:v>54120</c:v>
                      </c:pt>
                      <c:pt idx="42">
                        <c:v>63100</c:v>
                      </c:pt>
                      <c:pt idx="43">
                        <c:v>73560</c:v>
                      </c:pt>
                      <c:pt idx="44">
                        <c:v>85770</c:v>
                      </c:pt>
                      <c:pt idx="45">
                        <c:v>100000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214-49F8-B984-872D1193418C}"/>
                  </c:ext>
                </c:extLst>
              </c15:ser>
            </c15:filteredScatterSeries>
          </c:ext>
        </c:extLst>
      </c:scatterChart>
      <c:valAx>
        <c:axId val="1517690687"/>
        <c:scaling>
          <c:logBase val="10"/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684927"/>
        <c:crosses val="autoZero"/>
        <c:crossBetween val="midCat"/>
      </c:valAx>
      <c:valAx>
        <c:axId val="151768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690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lab4_parta1!$G$1</c:f>
              <c:strCache>
                <c:ptCount val="1"/>
                <c:pt idx="0">
                  <c:v>Phase (deg)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lab4_parta1!$A$2:$A$47</c:f>
              <c:numCache>
                <c:formatCode>General</c:formatCode>
                <c:ptCount val="46"/>
                <c:pt idx="0">
                  <c:v>100</c:v>
                </c:pt>
                <c:pt idx="1">
                  <c:v>116.6</c:v>
                </c:pt>
                <c:pt idx="2">
                  <c:v>135.9</c:v>
                </c:pt>
                <c:pt idx="3">
                  <c:v>158.5</c:v>
                </c:pt>
                <c:pt idx="4">
                  <c:v>184.8</c:v>
                </c:pt>
                <c:pt idx="5">
                  <c:v>215.4</c:v>
                </c:pt>
                <c:pt idx="6">
                  <c:v>251.2</c:v>
                </c:pt>
                <c:pt idx="7">
                  <c:v>292.89999999999998</c:v>
                </c:pt>
                <c:pt idx="8">
                  <c:v>341.5</c:v>
                </c:pt>
                <c:pt idx="9">
                  <c:v>398.1</c:v>
                </c:pt>
                <c:pt idx="10">
                  <c:v>464.2</c:v>
                </c:pt>
                <c:pt idx="11">
                  <c:v>541.20000000000005</c:v>
                </c:pt>
                <c:pt idx="12">
                  <c:v>631</c:v>
                </c:pt>
                <c:pt idx="13">
                  <c:v>735.6</c:v>
                </c:pt>
                <c:pt idx="14">
                  <c:v>857.7</c:v>
                </c:pt>
                <c:pt idx="15">
                  <c:v>1000</c:v>
                </c:pt>
                <c:pt idx="16">
                  <c:v>1166</c:v>
                </c:pt>
                <c:pt idx="17">
                  <c:v>1359</c:v>
                </c:pt>
                <c:pt idx="18">
                  <c:v>1585</c:v>
                </c:pt>
                <c:pt idx="19">
                  <c:v>1848</c:v>
                </c:pt>
                <c:pt idx="20">
                  <c:v>2154</c:v>
                </c:pt>
                <c:pt idx="21">
                  <c:v>2512</c:v>
                </c:pt>
                <c:pt idx="22">
                  <c:v>2929</c:v>
                </c:pt>
                <c:pt idx="23">
                  <c:v>3415</c:v>
                </c:pt>
                <c:pt idx="24">
                  <c:v>3981</c:v>
                </c:pt>
                <c:pt idx="25">
                  <c:v>4642</c:v>
                </c:pt>
                <c:pt idx="26">
                  <c:v>5412</c:v>
                </c:pt>
                <c:pt idx="27">
                  <c:v>6310</c:v>
                </c:pt>
                <c:pt idx="28">
                  <c:v>7356</c:v>
                </c:pt>
                <c:pt idx="29">
                  <c:v>8577</c:v>
                </c:pt>
                <c:pt idx="30">
                  <c:v>10000</c:v>
                </c:pt>
                <c:pt idx="31">
                  <c:v>11660</c:v>
                </c:pt>
                <c:pt idx="32">
                  <c:v>13590</c:v>
                </c:pt>
                <c:pt idx="33">
                  <c:v>15850</c:v>
                </c:pt>
                <c:pt idx="34">
                  <c:v>18480</c:v>
                </c:pt>
                <c:pt idx="35">
                  <c:v>21540</c:v>
                </c:pt>
                <c:pt idx="36">
                  <c:v>25120</c:v>
                </c:pt>
                <c:pt idx="37">
                  <c:v>29290</c:v>
                </c:pt>
                <c:pt idx="38">
                  <c:v>34150</c:v>
                </c:pt>
                <c:pt idx="39">
                  <c:v>39810</c:v>
                </c:pt>
                <c:pt idx="40">
                  <c:v>46420</c:v>
                </c:pt>
                <c:pt idx="41">
                  <c:v>54120</c:v>
                </c:pt>
                <c:pt idx="42">
                  <c:v>63100</c:v>
                </c:pt>
                <c:pt idx="43">
                  <c:v>73560</c:v>
                </c:pt>
                <c:pt idx="44">
                  <c:v>85770</c:v>
                </c:pt>
                <c:pt idx="45">
                  <c:v>100000</c:v>
                </c:pt>
              </c:numCache>
            </c:numRef>
          </c:cat>
          <c:val>
            <c:numRef>
              <c:f>lab4_parta1!$G$2:$G$47</c:f>
              <c:numCache>
                <c:formatCode>General</c:formatCode>
                <c:ptCount val="46"/>
                <c:pt idx="0">
                  <c:v>176.64323201350987</c:v>
                </c:pt>
                <c:pt idx="1">
                  <c:v>176.0534865549817</c:v>
                </c:pt>
                <c:pt idx="2">
                  <c:v>175.37075004630384</c:v>
                </c:pt>
                <c:pt idx="3">
                  <c:v>174.57479707730812</c:v>
                </c:pt>
                <c:pt idx="4">
                  <c:v>173.6568040979495</c:v>
                </c:pt>
                <c:pt idx="5">
                  <c:v>172.59878023346093</c:v>
                </c:pt>
                <c:pt idx="6">
                  <c:v>171.37236407298337</c:v>
                </c:pt>
                <c:pt idx="7">
                  <c:v>169.96225764338692</c:v>
                </c:pt>
                <c:pt idx="8">
                  <c:v>168.33958387179689</c:v>
                </c:pt>
                <c:pt idx="9">
                  <c:v>166.48182551686472</c:v>
                </c:pt>
                <c:pt idx="10">
                  <c:v>164.35345919529226</c:v>
                </c:pt>
                <c:pt idx="11">
                  <c:v>161.93741076478463</c:v>
                </c:pt>
                <c:pt idx="12">
                  <c:v>159.2084127865765</c:v>
                </c:pt>
                <c:pt idx="13">
                  <c:v>156.15970435868539</c:v>
                </c:pt>
                <c:pt idx="14">
                  <c:v>152.78240463528675</c:v>
                </c:pt>
                <c:pt idx="15">
                  <c:v>149.10206753404341</c:v>
                </c:pt>
                <c:pt idx="16">
                  <c:v>145.15003384634903</c:v>
                </c:pt>
                <c:pt idx="17">
                  <c:v>141.00451231123901</c:v>
                </c:pt>
                <c:pt idx="18">
                  <c:v>136.71196980589838</c:v>
                </c:pt>
                <c:pt idx="19">
                  <c:v>132.39318583354077</c:v>
                </c:pt>
                <c:pt idx="20">
                  <c:v>128.14413082485061</c:v>
                </c:pt>
                <c:pt idx="21">
                  <c:v>124.02960630645713</c:v>
                </c:pt>
                <c:pt idx="22">
                  <c:v>120.15119769543706</c:v>
                </c:pt>
                <c:pt idx="23">
                  <c:v>116.54288138904168</c:v>
                </c:pt>
                <c:pt idx="24">
                  <c:v>113.25971863138305</c:v>
                </c:pt>
                <c:pt idx="25">
                  <c:v>110.27472311031049</c:v>
                </c:pt>
                <c:pt idx="26">
                  <c:v>107.61705837759615</c:v>
                </c:pt>
                <c:pt idx="27">
                  <c:v>105.26810330489832</c:v>
                </c:pt>
                <c:pt idx="28">
                  <c:v>103.18924053682515</c:v>
                </c:pt>
                <c:pt idx="29">
                  <c:v>101.36459914245154</c:v>
                </c:pt>
                <c:pt idx="30">
                  <c:v>99.774813148302044</c:v>
                </c:pt>
                <c:pt idx="31">
                  <c:v>98.373759451868651</c:v>
                </c:pt>
                <c:pt idx="32">
                  <c:v>97.150838333941422</c:v>
                </c:pt>
                <c:pt idx="33">
                  <c:v>96.06645841087682</c:v>
                </c:pt>
                <c:pt idx="34">
                  <c:v>95.122338556060257</c:v>
                </c:pt>
                <c:pt idx="35">
                  <c:v>94.289544400837599</c:v>
                </c:pt>
                <c:pt idx="36">
                  <c:v>93.549454816867112</c:v>
                </c:pt>
                <c:pt idx="37">
                  <c:v>92.886141577444164</c:v>
                </c:pt>
                <c:pt idx="38">
                  <c:v>92.29101031564177</c:v>
                </c:pt>
                <c:pt idx="39">
                  <c:v>91.742174043685949</c:v>
                </c:pt>
                <c:pt idx="40">
                  <c:v>91.239690057356228</c:v>
                </c:pt>
                <c:pt idx="41">
                  <c:v>90.793814301185421</c:v>
                </c:pt>
                <c:pt idx="42">
                  <c:v>90.389477985161591</c:v>
                </c:pt>
                <c:pt idx="43">
                  <c:v>90.066329788707819</c:v>
                </c:pt>
                <c:pt idx="44">
                  <c:v>89.820530894596686</c:v>
                </c:pt>
                <c:pt idx="45">
                  <c:v>89.754468860818108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A0-4CD7-BB86-EBEDB09BB95A}"/>
            </c:ext>
          </c:extLst>
        </c:ser>
        <c:ser>
          <c:idx val="2"/>
          <c:order val="2"/>
          <c:tx>
            <c:strRef>
              <c:f>lab4_parta1!$I$1</c:f>
              <c:strCache>
                <c:ptCount val="1"/>
                <c:pt idx="0">
                  <c:v>Calculated Phase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lab4_parta1!$A$2:$A$47</c:f>
              <c:numCache>
                <c:formatCode>General</c:formatCode>
                <c:ptCount val="46"/>
                <c:pt idx="0">
                  <c:v>100</c:v>
                </c:pt>
                <c:pt idx="1">
                  <c:v>116.6</c:v>
                </c:pt>
                <c:pt idx="2">
                  <c:v>135.9</c:v>
                </c:pt>
                <c:pt idx="3">
                  <c:v>158.5</c:v>
                </c:pt>
                <c:pt idx="4">
                  <c:v>184.8</c:v>
                </c:pt>
                <c:pt idx="5">
                  <c:v>215.4</c:v>
                </c:pt>
                <c:pt idx="6">
                  <c:v>251.2</c:v>
                </c:pt>
                <c:pt idx="7">
                  <c:v>292.89999999999998</c:v>
                </c:pt>
                <c:pt idx="8">
                  <c:v>341.5</c:v>
                </c:pt>
                <c:pt idx="9">
                  <c:v>398.1</c:v>
                </c:pt>
                <c:pt idx="10">
                  <c:v>464.2</c:v>
                </c:pt>
                <c:pt idx="11">
                  <c:v>541.20000000000005</c:v>
                </c:pt>
                <c:pt idx="12">
                  <c:v>631</c:v>
                </c:pt>
                <c:pt idx="13">
                  <c:v>735.6</c:v>
                </c:pt>
                <c:pt idx="14">
                  <c:v>857.7</c:v>
                </c:pt>
                <c:pt idx="15">
                  <c:v>1000</c:v>
                </c:pt>
                <c:pt idx="16">
                  <c:v>1166</c:v>
                </c:pt>
                <c:pt idx="17">
                  <c:v>1359</c:v>
                </c:pt>
                <c:pt idx="18">
                  <c:v>1585</c:v>
                </c:pt>
                <c:pt idx="19">
                  <c:v>1848</c:v>
                </c:pt>
                <c:pt idx="20">
                  <c:v>2154</c:v>
                </c:pt>
                <c:pt idx="21">
                  <c:v>2512</c:v>
                </c:pt>
                <c:pt idx="22">
                  <c:v>2929</c:v>
                </c:pt>
                <c:pt idx="23">
                  <c:v>3415</c:v>
                </c:pt>
                <c:pt idx="24">
                  <c:v>3981</c:v>
                </c:pt>
                <c:pt idx="25">
                  <c:v>4642</c:v>
                </c:pt>
                <c:pt idx="26">
                  <c:v>5412</c:v>
                </c:pt>
                <c:pt idx="27">
                  <c:v>6310</c:v>
                </c:pt>
                <c:pt idx="28">
                  <c:v>7356</c:v>
                </c:pt>
                <c:pt idx="29">
                  <c:v>8577</c:v>
                </c:pt>
                <c:pt idx="30">
                  <c:v>10000</c:v>
                </c:pt>
                <c:pt idx="31">
                  <c:v>11660</c:v>
                </c:pt>
                <c:pt idx="32">
                  <c:v>13590</c:v>
                </c:pt>
                <c:pt idx="33">
                  <c:v>15850</c:v>
                </c:pt>
                <c:pt idx="34">
                  <c:v>18480</c:v>
                </c:pt>
                <c:pt idx="35">
                  <c:v>21540</c:v>
                </c:pt>
                <c:pt idx="36">
                  <c:v>25120</c:v>
                </c:pt>
                <c:pt idx="37">
                  <c:v>29290</c:v>
                </c:pt>
                <c:pt idx="38">
                  <c:v>34150</c:v>
                </c:pt>
                <c:pt idx="39">
                  <c:v>39810</c:v>
                </c:pt>
                <c:pt idx="40">
                  <c:v>46420</c:v>
                </c:pt>
                <c:pt idx="41">
                  <c:v>54120</c:v>
                </c:pt>
                <c:pt idx="42">
                  <c:v>63100</c:v>
                </c:pt>
                <c:pt idx="43">
                  <c:v>73560</c:v>
                </c:pt>
                <c:pt idx="44">
                  <c:v>85770</c:v>
                </c:pt>
                <c:pt idx="45">
                  <c:v>100000</c:v>
                </c:pt>
              </c:numCache>
            </c:numRef>
          </c:cat>
          <c:val>
            <c:numRef>
              <c:f>lab4_parta1!$I$2:$I$47</c:f>
              <c:numCache>
                <c:formatCode>General</c:formatCode>
                <c:ptCount val="46"/>
                <c:pt idx="0">
                  <c:v>179.63985300186917</c:v>
                </c:pt>
                <c:pt idx="1">
                  <c:v>179.58009582474241</c:v>
                </c:pt>
                <c:pt idx="2">
                  <c:v>179.51062026367646</c:v>
                </c:pt>
                <c:pt idx="3">
                  <c:v>179.42926730508185</c:v>
                </c:pt>
                <c:pt idx="4">
                  <c:v>179.33459841827488</c:v>
                </c:pt>
                <c:pt idx="5">
                  <c:v>179.22445595559941</c:v>
                </c:pt>
                <c:pt idx="6">
                  <c:v>179.09560380601329</c:v>
                </c:pt>
                <c:pt idx="7">
                  <c:v>178.94552786835908</c:v>
                </c:pt>
                <c:pt idx="8">
                  <c:v>178.77063762080931</c:v>
                </c:pt>
                <c:pt idx="9">
                  <c:v>178.56698795234993</c:v>
                </c:pt>
                <c:pt idx="10">
                  <c:v>178.32920299603725</c:v>
                </c:pt>
                <c:pt idx="11">
                  <c:v>178.05228003945439</c:v>
                </c:pt>
                <c:pt idx="12">
                  <c:v>177.72943897993721</c:v>
                </c:pt>
                <c:pt idx="13">
                  <c:v>177.35357345127821</c:v>
                </c:pt>
                <c:pt idx="14">
                  <c:v>176.91511450970719</c:v>
                </c:pt>
                <c:pt idx="15">
                  <c:v>176.4045772094687</c:v>
                </c:pt>
                <c:pt idx="16">
                  <c:v>175.80973733743159</c:v>
                </c:pt>
                <c:pt idx="17">
                  <c:v>175.11929079400642</c:v>
                </c:pt>
                <c:pt idx="18">
                  <c:v>174.31260505146309</c:v>
                </c:pt>
                <c:pt idx="19">
                  <c:v>173.37671227809162</c:v>
                </c:pt>
                <c:pt idx="20">
                  <c:v>172.29228620440017</c:v>
                </c:pt>
                <c:pt idx="21">
                  <c:v>171.03064567448897</c:v>
                </c:pt>
                <c:pt idx="22">
                  <c:v>169.57213621880209</c:v>
                </c:pt>
                <c:pt idx="23">
                  <c:v>167.88948581845142</c:v>
                </c:pt>
                <c:pt idx="24">
                  <c:v>165.95641129124238</c:v>
                </c:pt>
                <c:pt idx="25">
                  <c:v>163.73971987404232</c:v>
                </c:pt>
                <c:pt idx="26">
                  <c:v>161.21946759542308</c:v>
                </c:pt>
                <c:pt idx="27">
                  <c:v>158.37307385774395</c:v>
                </c:pt>
                <c:pt idx="28">
                  <c:v>155.19390617157049</c:v>
                </c:pt>
                <c:pt idx="29">
                  <c:v>151.67924976475322</c:v>
                </c:pt>
                <c:pt idx="30">
                  <c:v>147.85796212631755</c:v>
                </c:pt>
                <c:pt idx="31">
                  <c:v>143.77264240930728</c:v>
                </c:pt>
                <c:pt idx="32">
                  <c:v>139.50635929823343</c:v>
                </c:pt>
                <c:pt idx="33">
                  <c:v>135.11800481318218</c:v>
                </c:pt>
                <c:pt idx="34">
                  <c:v>130.73582556150694</c:v>
                </c:pt>
                <c:pt idx="35">
                  <c:v>126.45985785512001</c:v>
                </c:pt>
                <c:pt idx="36">
                  <c:v>122.35734174249046</c:v>
                </c:pt>
                <c:pt idx="37">
                  <c:v>118.51848056798723</c:v>
                </c:pt>
                <c:pt idx="38">
                  <c:v>114.98758326292237</c:v>
                </c:pt>
                <c:pt idx="39">
                  <c:v>111.79072020244473</c:v>
                </c:pt>
                <c:pt idx="40">
                  <c:v>108.92457982880308</c:v>
                </c:pt>
                <c:pt idx="41">
                  <c:v>106.38730375243051</c:v>
                </c:pt>
                <c:pt idx="42">
                  <c:v>104.15610669698064</c:v>
                </c:pt>
                <c:pt idx="43">
                  <c:v>102.20823594899481</c:v>
                </c:pt>
                <c:pt idx="44">
                  <c:v>100.51210398667905</c:v>
                </c:pt>
                <c:pt idx="45">
                  <c:v>99.042916551674608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A0-4CD7-BB86-EBEDB09BB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3688127"/>
        <c:axId val="1533687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lab4_parta1!$A$1</c15:sqref>
                        </c15:formulaRef>
                      </c:ext>
                    </c:extLst>
                    <c:strCache>
                      <c:ptCount val="1"/>
                      <c:pt idx="0">
                        <c:v>Frequency (Hz)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lab4_parta1!$A$2:$A$47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0">
                        <c:v>100</c:v>
                      </c:pt>
                      <c:pt idx="1">
                        <c:v>116.6</c:v>
                      </c:pt>
                      <c:pt idx="2">
                        <c:v>135.9</c:v>
                      </c:pt>
                      <c:pt idx="3">
                        <c:v>158.5</c:v>
                      </c:pt>
                      <c:pt idx="4">
                        <c:v>184.8</c:v>
                      </c:pt>
                      <c:pt idx="5">
                        <c:v>215.4</c:v>
                      </c:pt>
                      <c:pt idx="6">
                        <c:v>251.2</c:v>
                      </c:pt>
                      <c:pt idx="7">
                        <c:v>292.89999999999998</c:v>
                      </c:pt>
                      <c:pt idx="8">
                        <c:v>341.5</c:v>
                      </c:pt>
                      <c:pt idx="9">
                        <c:v>398.1</c:v>
                      </c:pt>
                      <c:pt idx="10">
                        <c:v>464.2</c:v>
                      </c:pt>
                      <c:pt idx="11">
                        <c:v>541.20000000000005</c:v>
                      </c:pt>
                      <c:pt idx="12">
                        <c:v>631</c:v>
                      </c:pt>
                      <c:pt idx="13">
                        <c:v>735.6</c:v>
                      </c:pt>
                      <c:pt idx="14">
                        <c:v>857.7</c:v>
                      </c:pt>
                      <c:pt idx="15">
                        <c:v>1000</c:v>
                      </c:pt>
                      <c:pt idx="16">
                        <c:v>1166</c:v>
                      </c:pt>
                      <c:pt idx="17">
                        <c:v>1359</c:v>
                      </c:pt>
                      <c:pt idx="18">
                        <c:v>1585</c:v>
                      </c:pt>
                      <c:pt idx="19">
                        <c:v>1848</c:v>
                      </c:pt>
                      <c:pt idx="20">
                        <c:v>2154</c:v>
                      </c:pt>
                      <c:pt idx="21">
                        <c:v>2512</c:v>
                      </c:pt>
                      <c:pt idx="22">
                        <c:v>2929</c:v>
                      </c:pt>
                      <c:pt idx="23">
                        <c:v>3415</c:v>
                      </c:pt>
                      <c:pt idx="24">
                        <c:v>3981</c:v>
                      </c:pt>
                      <c:pt idx="25">
                        <c:v>4642</c:v>
                      </c:pt>
                      <c:pt idx="26">
                        <c:v>5412</c:v>
                      </c:pt>
                      <c:pt idx="27">
                        <c:v>6310</c:v>
                      </c:pt>
                      <c:pt idx="28">
                        <c:v>7356</c:v>
                      </c:pt>
                      <c:pt idx="29">
                        <c:v>8577</c:v>
                      </c:pt>
                      <c:pt idx="30">
                        <c:v>10000</c:v>
                      </c:pt>
                      <c:pt idx="31">
                        <c:v>11660</c:v>
                      </c:pt>
                      <c:pt idx="32">
                        <c:v>13590</c:v>
                      </c:pt>
                      <c:pt idx="33">
                        <c:v>15850</c:v>
                      </c:pt>
                      <c:pt idx="34">
                        <c:v>18480</c:v>
                      </c:pt>
                      <c:pt idx="35">
                        <c:v>21540</c:v>
                      </c:pt>
                      <c:pt idx="36">
                        <c:v>25120</c:v>
                      </c:pt>
                      <c:pt idx="37">
                        <c:v>29290</c:v>
                      </c:pt>
                      <c:pt idx="38">
                        <c:v>34150</c:v>
                      </c:pt>
                      <c:pt idx="39">
                        <c:v>39810</c:v>
                      </c:pt>
                      <c:pt idx="40">
                        <c:v>46420</c:v>
                      </c:pt>
                      <c:pt idx="41">
                        <c:v>54120</c:v>
                      </c:pt>
                      <c:pt idx="42">
                        <c:v>63100</c:v>
                      </c:pt>
                      <c:pt idx="43">
                        <c:v>73560</c:v>
                      </c:pt>
                      <c:pt idx="44">
                        <c:v>85770</c:v>
                      </c:pt>
                      <c:pt idx="45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lab4_parta1!$A$2:$A$47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0">
                        <c:v>100</c:v>
                      </c:pt>
                      <c:pt idx="1">
                        <c:v>116.6</c:v>
                      </c:pt>
                      <c:pt idx="2">
                        <c:v>135.9</c:v>
                      </c:pt>
                      <c:pt idx="3">
                        <c:v>158.5</c:v>
                      </c:pt>
                      <c:pt idx="4">
                        <c:v>184.8</c:v>
                      </c:pt>
                      <c:pt idx="5">
                        <c:v>215.4</c:v>
                      </c:pt>
                      <c:pt idx="6">
                        <c:v>251.2</c:v>
                      </c:pt>
                      <c:pt idx="7">
                        <c:v>292.89999999999998</c:v>
                      </c:pt>
                      <c:pt idx="8">
                        <c:v>341.5</c:v>
                      </c:pt>
                      <c:pt idx="9">
                        <c:v>398.1</c:v>
                      </c:pt>
                      <c:pt idx="10">
                        <c:v>464.2</c:v>
                      </c:pt>
                      <c:pt idx="11">
                        <c:v>541.20000000000005</c:v>
                      </c:pt>
                      <c:pt idx="12">
                        <c:v>631</c:v>
                      </c:pt>
                      <c:pt idx="13">
                        <c:v>735.6</c:v>
                      </c:pt>
                      <c:pt idx="14">
                        <c:v>857.7</c:v>
                      </c:pt>
                      <c:pt idx="15">
                        <c:v>1000</c:v>
                      </c:pt>
                      <c:pt idx="16">
                        <c:v>1166</c:v>
                      </c:pt>
                      <c:pt idx="17">
                        <c:v>1359</c:v>
                      </c:pt>
                      <c:pt idx="18">
                        <c:v>1585</c:v>
                      </c:pt>
                      <c:pt idx="19">
                        <c:v>1848</c:v>
                      </c:pt>
                      <c:pt idx="20">
                        <c:v>2154</c:v>
                      </c:pt>
                      <c:pt idx="21">
                        <c:v>2512</c:v>
                      </c:pt>
                      <c:pt idx="22">
                        <c:v>2929</c:v>
                      </c:pt>
                      <c:pt idx="23">
                        <c:v>3415</c:v>
                      </c:pt>
                      <c:pt idx="24">
                        <c:v>3981</c:v>
                      </c:pt>
                      <c:pt idx="25">
                        <c:v>4642</c:v>
                      </c:pt>
                      <c:pt idx="26">
                        <c:v>5412</c:v>
                      </c:pt>
                      <c:pt idx="27">
                        <c:v>6310</c:v>
                      </c:pt>
                      <c:pt idx="28">
                        <c:v>7356</c:v>
                      </c:pt>
                      <c:pt idx="29">
                        <c:v>8577</c:v>
                      </c:pt>
                      <c:pt idx="30">
                        <c:v>10000</c:v>
                      </c:pt>
                      <c:pt idx="31">
                        <c:v>11660</c:v>
                      </c:pt>
                      <c:pt idx="32">
                        <c:v>13590</c:v>
                      </c:pt>
                      <c:pt idx="33">
                        <c:v>15850</c:v>
                      </c:pt>
                      <c:pt idx="34">
                        <c:v>18480</c:v>
                      </c:pt>
                      <c:pt idx="35">
                        <c:v>21540</c:v>
                      </c:pt>
                      <c:pt idx="36">
                        <c:v>25120</c:v>
                      </c:pt>
                      <c:pt idx="37">
                        <c:v>29290</c:v>
                      </c:pt>
                      <c:pt idx="38">
                        <c:v>34150</c:v>
                      </c:pt>
                      <c:pt idx="39">
                        <c:v>39810</c:v>
                      </c:pt>
                      <c:pt idx="40">
                        <c:v>46420</c:v>
                      </c:pt>
                      <c:pt idx="41">
                        <c:v>54120</c:v>
                      </c:pt>
                      <c:pt idx="42">
                        <c:v>63100</c:v>
                      </c:pt>
                      <c:pt idx="43">
                        <c:v>73560</c:v>
                      </c:pt>
                      <c:pt idx="44">
                        <c:v>85770</c:v>
                      </c:pt>
                      <c:pt idx="45">
                        <c:v>100000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BA0-4CD7-BB86-EBEDB09BB95A}"/>
                  </c:ext>
                </c:extLst>
              </c15:ser>
            </c15:filteredLineSeries>
          </c:ext>
        </c:extLst>
      </c:lineChart>
      <c:catAx>
        <c:axId val="153368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687167"/>
        <c:crosses val="autoZero"/>
        <c:auto val="1"/>
        <c:lblAlgn val="ctr"/>
        <c:lblOffset val="100"/>
        <c:noMultiLvlLbl val="0"/>
      </c:catAx>
      <c:valAx>
        <c:axId val="153368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68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223836</xdr:colOff>
      <xdr:row>0</xdr:row>
      <xdr:rowOff>185737</xdr:rowOff>
    </xdr:from>
    <xdr:to>
      <xdr:col>19</xdr:col>
      <xdr:colOff>200025</xdr:colOff>
      <xdr:row>15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270DAB-EEE7-7AAC-4187-612809FFA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204787</xdr:colOff>
      <xdr:row>16</xdr:row>
      <xdr:rowOff>166687</xdr:rowOff>
    </xdr:from>
    <xdr:to>
      <xdr:col>19</xdr:col>
      <xdr:colOff>228600</xdr:colOff>
      <xdr:row>34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DB68F0-AA33-BE73-256B-BF7CFB22E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B694-5E85-4D39-BE59-630330521BB7}">
  <dimension ref="A1:I47"/>
  <sheetViews>
    <sheetView tabSelected="1" topLeftCell="D1" workbookViewId="0">
      <selection activeCell="U18" sqref="U18"/>
    </sheetView>
  </sheetViews>
  <sheetFormatPr defaultRowHeight="15" x14ac:dyDescent="0.25"/>
  <cols>
    <col min="1" max="1" width="14.140625" bestFit="1" customWidth="1"/>
    <col min="2" max="2" width="15" bestFit="1" customWidth="1"/>
    <col min="3" max="3" width="15.7109375" bestFit="1" customWidth="1"/>
    <col min="4" max="4" width="12.7109375" bestFit="1" customWidth="1"/>
    <col min="5" max="5" width="11.140625" bestFit="1" customWidth="1"/>
    <col min="6" max="6" width="12.140625" bestFit="1" customWidth="1"/>
    <col min="7" max="7" width="11.42578125" bestFit="1" customWidth="1"/>
    <col min="8" max="8" width="20.42578125" bestFit="1" customWidth="1"/>
    <col min="9" max="9" width="16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</row>
    <row r="2" spans="1:9" x14ac:dyDescent="0.25">
      <c r="A2">
        <v>100</v>
      </c>
      <c r="B2">
        <v>13.079909000000001</v>
      </c>
      <c r="C2">
        <v>4.5081199999999999</v>
      </c>
      <c r="D2">
        <v>5.5134809999999996</v>
      </c>
      <c r="E2">
        <v>1.2230110000000001</v>
      </c>
      <c r="F2">
        <v>3.0830060000000001</v>
      </c>
      <c r="G2">
        <f>DEGREES(F2)</f>
        <v>176.64323201350987</v>
      </c>
      <c r="H2">
        <f>(10000/2200)/SQRT(1+(2*3.14159*A2*10000*0.000000001)^2)</f>
        <v>4.5453648245862608</v>
      </c>
      <c r="I2">
        <f>DEGREES(3.14159-ATAN(2*3.14159*A2*10000*0.000000001))</f>
        <v>179.63985300186917</v>
      </c>
    </row>
    <row r="3" spans="1:9" x14ac:dyDescent="0.25">
      <c r="A3">
        <v>116.6</v>
      </c>
      <c r="B3">
        <v>13.075129</v>
      </c>
      <c r="C3">
        <v>4.5056399999999996</v>
      </c>
      <c r="D3">
        <v>5.5291779999999999</v>
      </c>
      <c r="E3">
        <v>1.227168</v>
      </c>
      <c r="F3">
        <v>3.0727129999999998</v>
      </c>
      <c r="G3">
        <f t="shared" ref="G3:G47" si="0">DEGREES(F3)</f>
        <v>176.0534865549817</v>
      </c>
      <c r="H3">
        <f t="shared" ref="H3:H47" si="1">(10000/2200)/SQRT(1+(2*3.14159*A3*10000*0.000000001)^2)</f>
        <v>4.5453325662082866</v>
      </c>
      <c r="I3">
        <f t="shared" ref="I3:I47" si="2">DEGREES(3.14159-ATAN(2*3.14159*A3*10000*0.000000001))</f>
        <v>179.58009582474241</v>
      </c>
    </row>
    <row r="4" spans="1:9" x14ac:dyDescent="0.25">
      <c r="A4">
        <v>135.9</v>
      </c>
      <c r="B4">
        <v>13.067437</v>
      </c>
      <c r="C4">
        <v>4.5016509999999998</v>
      </c>
      <c r="D4">
        <v>5.5430419999999998</v>
      </c>
      <c r="E4">
        <v>1.2313350000000001</v>
      </c>
      <c r="F4">
        <v>3.060797</v>
      </c>
      <c r="G4">
        <f t="shared" si="0"/>
        <v>175.37075004630384</v>
      </c>
      <c r="H4">
        <f t="shared" si="1"/>
        <v>4.5452888458423777</v>
      </c>
      <c r="I4">
        <f t="shared" si="2"/>
        <v>179.51062026367646</v>
      </c>
    </row>
    <row r="5" spans="1:9" x14ac:dyDescent="0.25">
      <c r="A5">
        <v>158.5</v>
      </c>
      <c r="B5">
        <v>13.056368000000001</v>
      </c>
      <c r="C5">
        <v>4.4959179999999996</v>
      </c>
      <c r="D5">
        <v>5.5536219999999998</v>
      </c>
      <c r="E5">
        <v>1.2352590000000001</v>
      </c>
      <c r="F5">
        <v>3.0469050000000002</v>
      </c>
      <c r="G5">
        <f t="shared" si="0"/>
        <v>174.57479707730812</v>
      </c>
      <c r="H5">
        <f t="shared" si="1"/>
        <v>4.5452291565376148</v>
      </c>
      <c r="I5">
        <f t="shared" si="2"/>
        <v>179.42926730508185</v>
      </c>
    </row>
    <row r="6" spans="1:9" x14ac:dyDescent="0.25">
      <c r="A6">
        <v>184.8</v>
      </c>
      <c r="B6">
        <v>13.041907999999999</v>
      </c>
      <c r="C6">
        <v>4.4884399999999998</v>
      </c>
      <c r="D6">
        <v>5.5608789999999999</v>
      </c>
      <c r="E6">
        <v>1.238934</v>
      </c>
      <c r="F6">
        <v>3.0308830000000002</v>
      </c>
      <c r="G6">
        <f t="shared" si="0"/>
        <v>173.6568040979495</v>
      </c>
      <c r="H6">
        <f t="shared" si="1"/>
        <v>4.5451481612664084</v>
      </c>
      <c r="I6">
        <f t="shared" si="2"/>
        <v>179.33459841827488</v>
      </c>
    </row>
    <row r="7" spans="1:9" x14ac:dyDescent="0.25">
      <c r="A7">
        <v>215.4</v>
      </c>
      <c r="B7">
        <v>13.021895000000001</v>
      </c>
      <c r="C7">
        <v>4.47811</v>
      </c>
      <c r="D7">
        <v>5.5621539999999996</v>
      </c>
      <c r="E7">
        <v>1.242076</v>
      </c>
      <c r="F7">
        <v>3.0124170000000001</v>
      </c>
      <c r="G7">
        <f t="shared" si="0"/>
        <v>172.59878023346093</v>
      </c>
      <c r="H7">
        <f t="shared" si="1"/>
        <v>4.5450383109608135</v>
      </c>
      <c r="I7">
        <f t="shared" si="2"/>
        <v>179.22445595559941</v>
      </c>
    </row>
    <row r="8" spans="1:9" x14ac:dyDescent="0.25">
      <c r="A8">
        <v>251.2</v>
      </c>
      <c r="B8">
        <v>12.994503</v>
      </c>
      <c r="C8">
        <v>4.46401</v>
      </c>
      <c r="D8">
        <v>5.5544510000000002</v>
      </c>
      <c r="E8">
        <v>1.2442740000000001</v>
      </c>
      <c r="F8">
        <v>2.991012</v>
      </c>
      <c r="G8">
        <f t="shared" si="0"/>
        <v>171.37236407298337</v>
      </c>
      <c r="H8">
        <f t="shared" si="1"/>
        <v>4.5448884828512925</v>
      </c>
      <c r="I8">
        <f t="shared" si="2"/>
        <v>179.09560380601329</v>
      </c>
    </row>
    <row r="9" spans="1:9" x14ac:dyDescent="0.25">
      <c r="A9">
        <v>292.89999999999998</v>
      </c>
      <c r="B9">
        <v>12.957850000000001</v>
      </c>
      <c r="C9">
        <v>4.4452119999999997</v>
      </c>
      <c r="D9">
        <v>5.5355129999999999</v>
      </c>
      <c r="E9">
        <v>1.2452749999999999</v>
      </c>
      <c r="F9">
        <v>2.9664009999999998</v>
      </c>
      <c r="G9">
        <f t="shared" si="0"/>
        <v>169.96225764338692</v>
      </c>
      <c r="H9">
        <f t="shared" si="1"/>
        <v>4.5446849991272495</v>
      </c>
      <c r="I9">
        <f t="shared" si="2"/>
        <v>178.94552786835908</v>
      </c>
    </row>
    <row r="10" spans="1:9" x14ac:dyDescent="0.25">
      <c r="A10">
        <v>341.5</v>
      </c>
      <c r="B10">
        <v>12.90929</v>
      </c>
      <c r="C10">
        <v>4.4204299999999996</v>
      </c>
      <c r="D10">
        <v>5.5048110000000001</v>
      </c>
      <c r="E10">
        <v>1.2453110000000001</v>
      </c>
      <c r="F10">
        <v>2.9380799999999998</v>
      </c>
      <c r="G10">
        <f t="shared" si="0"/>
        <v>168.33958387179689</v>
      </c>
      <c r="H10">
        <f t="shared" si="1"/>
        <v>4.5444085306998101</v>
      </c>
      <c r="I10">
        <f t="shared" si="2"/>
        <v>178.77063762080931</v>
      </c>
    </row>
    <row r="11" spans="1:9" x14ac:dyDescent="0.25">
      <c r="A11">
        <v>398.1</v>
      </c>
      <c r="B11">
        <v>12.84511</v>
      </c>
      <c r="C11">
        <v>4.3878870000000001</v>
      </c>
      <c r="D11">
        <v>5.4585699999999999</v>
      </c>
      <c r="E11">
        <v>1.2440089999999999</v>
      </c>
      <c r="F11">
        <v>2.905656</v>
      </c>
      <c r="G11">
        <f t="shared" si="0"/>
        <v>166.48182551686472</v>
      </c>
      <c r="H11">
        <f t="shared" si="1"/>
        <v>4.5440332415559226</v>
      </c>
      <c r="I11">
        <f t="shared" si="2"/>
        <v>178.56698795234993</v>
      </c>
    </row>
    <row r="12" spans="1:9" x14ac:dyDescent="0.25">
      <c r="A12">
        <v>464.2</v>
      </c>
      <c r="B12">
        <v>12.760362000000001</v>
      </c>
      <c r="C12">
        <v>4.3452830000000002</v>
      </c>
      <c r="D12">
        <v>5.3944229999999997</v>
      </c>
      <c r="E12">
        <v>1.2414430000000001</v>
      </c>
      <c r="F12">
        <v>2.868509</v>
      </c>
      <c r="G12">
        <f t="shared" si="0"/>
        <v>164.35345919529226</v>
      </c>
      <c r="H12">
        <f t="shared" si="1"/>
        <v>4.5435224008763537</v>
      </c>
      <c r="I12">
        <f t="shared" si="2"/>
        <v>178.32920299603725</v>
      </c>
    </row>
    <row r="13" spans="1:9" x14ac:dyDescent="0.25">
      <c r="A13">
        <v>541.20000000000005</v>
      </c>
      <c r="B13">
        <v>12.649463000000001</v>
      </c>
      <c r="C13">
        <v>4.2901569999999998</v>
      </c>
      <c r="D13">
        <v>5.3148229999999996</v>
      </c>
      <c r="E13">
        <v>1.2388410000000001</v>
      </c>
      <c r="F13">
        <v>2.8263410000000002</v>
      </c>
      <c r="G13">
        <f t="shared" si="0"/>
        <v>161.93741076478463</v>
      </c>
      <c r="H13">
        <f t="shared" si="1"/>
        <v>4.5428288432588957</v>
      </c>
      <c r="I13">
        <f t="shared" si="2"/>
        <v>178.05228003945439</v>
      </c>
    </row>
    <row r="14" spans="1:9" x14ac:dyDescent="0.25">
      <c r="A14">
        <v>631</v>
      </c>
      <c r="B14">
        <v>12.503469000000001</v>
      </c>
      <c r="C14">
        <v>4.2186500000000002</v>
      </c>
      <c r="D14">
        <v>5.2142020000000002</v>
      </c>
      <c r="E14">
        <v>1.2359880000000001</v>
      </c>
      <c r="F14">
        <v>2.7787109999999999</v>
      </c>
      <c r="G14">
        <f t="shared" si="0"/>
        <v>159.2084127865765</v>
      </c>
      <c r="H14">
        <f t="shared" si="1"/>
        <v>4.5418863106796463</v>
      </c>
      <c r="I14">
        <f t="shared" si="2"/>
        <v>177.72943897993721</v>
      </c>
    </row>
    <row r="15" spans="1:9" x14ac:dyDescent="0.25">
      <c r="A15">
        <v>735.6</v>
      </c>
      <c r="B15">
        <v>12.314021</v>
      </c>
      <c r="C15">
        <v>4.1276330000000003</v>
      </c>
      <c r="D15">
        <v>5.0907580000000001</v>
      </c>
      <c r="E15">
        <v>1.233336</v>
      </c>
      <c r="F15">
        <v>2.725501</v>
      </c>
      <c r="G15">
        <f t="shared" si="0"/>
        <v>156.15970435868539</v>
      </c>
      <c r="H15">
        <f t="shared" si="1"/>
        <v>4.5406073041272785</v>
      </c>
      <c r="I15">
        <f t="shared" si="2"/>
        <v>177.35357345127821</v>
      </c>
    </row>
    <row r="16" spans="1:9" x14ac:dyDescent="0.25">
      <c r="A16">
        <v>857.7</v>
      </c>
      <c r="B16">
        <v>12.069865</v>
      </c>
      <c r="C16">
        <v>4.013223</v>
      </c>
      <c r="D16">
        <v>4.94015</v>
      </c>
      <c r="E16">
        <v>1.2309680000000001</v>
      </c>
      <c r="F16">
        <v>2.6665559999999999</v>
      </c>
      <c r="G16">
        <f t="shared" si="0"/>
        <v>152.78240463528675</v>
      </c>
      <c r="H16">
        <f t="shared" si="1"/>
        <v>4.5388683830148251</v>
      </c>
      <c r="I16">
        <f t="shared" si="2"/>
        <v>176.91511450970719</v>
      </c>
    </row>
    <row r="17" spans="1:9" x14ac:dyDescent="0.25">
      <c r="A17">
        <v>1000</v>
      </c>
      <c r="B17">
        <v>11.761282</v>
      </c>
      <c r="C17">
        <v>3.873148</v>
      </c>
      <c r="D17">
        <v>4.7610429999999999</v>
      </c>
      <c r="E17">
        <v>1.229244</v>
      </c>
      <c r="F17">
        <v>2.602322</v>
      </c>
      <c r="G17">
        <f t="shared" si="0"/>
        <v>149.10206753404341</v>
      </c>
      <c r="H17">
        <f t="shared" si="1"/>
        <v>4.5365086719026966</v>
      </c>
      <c r="I17">
        <f t="shared" si="2"/>
        <v>176.4045772094687</v>
      </c>
    </row>
    <row r="18" spans="1:9" x14ac:dyDescent="0.25">
      <c r="A18">
        <v>1166</v>
      </c>
      <c r="B18">
        <v>11.374439000000001</v>
      </c>
      <c r="C18">
        <v>3.7044350000000001</v>
      </c>
      <c r="D18">
        <v>4.5486190000000004</v>
      </c>
      <c r="E18">
        <v>1.2278849999999999</v>
      </c>
      <c r="F18">
        <v>2.5333459999999999</v>
      </c>
      <c r="G18">
        <f t="shared" si="0"/>
        <v>145.15003384634903</v>
      </c>
      <c r="H18">
        <f t="shared" si="1"/>
        <v>4.5333050156442543</v>
      </c>
      <c r="I18">
        <f t="shared" si="2"/>
        <v>175.80973733743159</v>
      </c>
    </row>
    <row r="19" spans="1:9" x14ac:dyDescent="0.25">
      <c r="A19">
        <v>1359</v>
      </c>
      <c r="B19">
        <v>10.901204999999999</v>
      </c>
      <c r="C19">
        <v>3.5080049999999998</v>
      </c>
      <c r="D19">
        <v>4.3023639999999999</v>
      </c>
      <c r="E19">
        <v>1.226442</v>
      </c>
      <c r="F19">
        <v>2.4609930000000002</v>
      </c>
      <c r="G19">
        <f t="shared" si="0"/>
        <v>141.00451231123901</v>
      </c>
      <c r="H19">
        <f t="shared" si="1"/>
        <v>4.5289737469450593</v>
      </c>
      <c r="I19">
        <f t="shared" si="2"/>
        <v>175.11929079400642</v>
      </c>
    </row>
    <row r="20" spans="1:9" x14ac:dyDescent="0.25">
      <c r="A20">
        <v>1585</v>
      </c>
      <c r="B20">
        <v>10.328946999999999</v>
      </c>
      <c r="C20">
        <v>3.2843339999999999</v>
      </c>
      <c r="D20">
        <v>4.0246040000000001</v>
      </c>
      <c r="E20">
        <v>1.2253940000000001</v>
      </c>
      <c r="F20">
        <v>2.3860739999999998</v>
      </c>
      <c r="G20">
        <f t="shared" si="0"/>
        <v>136.71196980589838</v>
      </c>
      <c r="H20">
        <f t="shared" si="1"/>
        <v>4.5230802689112126</v>
      </c>
      <c r="I20">
        <f t="shared" si="2"/>
        <v>174.31260505146309</v>
      </c>
    </row>
    <row r="21" spans="1:9" x14ac:dyDescent="0.25">
      <c r="A21">
        <v>1848</v>
      </c>
      <c r="B21">
        <v>9.6628139999999991</v>
      </c>
      <c r="C21">
        <v>3.0418699999999999</v>
      </c>
      <c r="D21">
        <v>3.7246069999999998</v>
      </c>
      <c r="E21">
        <v>1.2244459999999999</v>
      </c>
      <c r="F21">
        <v>2.3106969999999998</v>
      </c>
      <c r="G21">
        <f t="shared" si="0"/>
        <v>132.39318583354077</v>
      </c>
      <c r="H21">
        <f t="shared" si="1"/>
        <v>4.5151194259303828</v>
      </c>
      <c r="I21">
        <f t="shared" si="2"/>
        <v>173.37671227809162</v>
      </c>
    </row>
    <row r="22" spans="1:9" x14ac:dyDescent="0.25">
      <c r="A22">
        <v>2154</v>
      </c>
      <c r="B22">
        <v>8.8954640000000005</v>
      </c>
      <c r="C22">
        <v>2.7846669999999998</v>
      </c>
      <c r="D22">
        <v>3.408239</v>
      </c>
      <c r="E22">
        <v>1.2239310000000001</v>
      </c>
      <c r="F22">
        <v>2.2365370000000002</v>
      </c>
      <c r="G22">
        <f t="shared" si="0"/>
        <v>128.14413082485061</v>
      </c>
      <c r="H22">
        <f t="shared" si="1"/>
        <v>4.5043886723503039</v>
      </c>
      <c r="I22">
        <f t="shared" si="2"/>
        <v>172.29228620440017</v>
      </c>
    </row>
    <row r="23" spans="1:9" x14ac:dyDescent="0.25">
      <c r="A23">
        <v>2512</v>
      </c>
      <c r="B23">
        <v>8.0374780000000001</v>
      </c>
      <c r="C23">
        <v>2.522748</v>
      </c>
      <c r="D23">
        <v>3.085658</v>
      </c>
      <c r="E23">
        <v>1.2231339999999999</v>
      </c>
      <c r="F23">
        <v>2.1647249999999998</v>
      </c>
      <c r="G23">
        <f t="shared" si="0"/>
        <v>124.02960630645713</v>
      </c>
      <c r="H23">
        <f t="shared" si="1"/>
        <v>4.4898740217956563</v>
      </c>
      <c r="I23">
        <f t="shared" si="2"/>
        <v>171.03064567448897</v>
      </c>
    </row>
    <row r="24" spans="1:9" x14ac:dyDescent="0.25">
      <c r="A24">
        <v>2929</v>
      </c>
      <c r="B24">
        <v>7.0921839999999996</v>
      </c>
      <c r="C24">
        <v>2.262607</v>
      </c>
      <c r="D24">
        <v>2.7666719999999998</v>
      </c>
      <c r="E24">
        <v>1.2227809999999999</v>
      </c>
      <c r="F24">
        <v>2.0970339999999998</v>
      </c>
      <c r="G24">
        <f t="shared" si="0"/>
        <v>120.15119769543706</v>
      </c>
      <c r="H24">
        <f t="shared" si="1"/>
        <v>4.470382025817103</v>
      </c>
      <c r="I24">
        <f t="shared" si="2"/>
        <v>169.57213621880209</v>
      </c>
    </row>
    <row r="25" spans="1:9" x14ac:dyDescent="0.25">
      <c r="A25">
        <v>3415</v>
      </c>
      <c r="B25">
        <v>6.0731609999999998</v>
      </c>
      <c r="C25">
        <v>2.0121389999999999</v>
      </c>
      <c r="D25">
        <v>2.4598439999999999</v>
      </c>
      <c r="E25">
        <v>1.222502</v>
      </c>
      <c r="F25">
        <v>2.0340569999999998</v>
      </c>
      <c r="G25">
        <f t="shared" si="0"/>
        <v>116.54288138904168</v>
      </c>
      <c r="H25">
        <f t="shared" si="1"/>
        <v>4.444296865991566</v>
      </c>
      <c r="I25">
        <f t="shared" si="2"/>
        <v>167.88948581845142</v>
      </c>
    </row>
    <row r="26" spans="1:9" x14ac:dyDescent="0.25">
      <c r="A26">
        <v>3981</v>
      </c>
      <c r="B26">
        <v>4.9535349999999996</v>
      </c>
      <c r="C26">
        <v>1.7687919999999999</v>
      </c>
      <c r="D26">
        <v>2.162175</v>
      </c>
      <c r="E26">
        <v>1.222402</v>
      </c>
      <c r="F26">
        <v>1.976755</v>
      </c>
      <c r="G26">
        <f t="shared" si="0"/>
        <v>113.25971863138305</v>
      </c>
      <c r="H26">
        <f t="shared" si="1"/>
        <v>4.4096001970612431</v>
      </c>
      <c r="I26">
        <f t="shared" si="2"/>
        <v>165.95641129124238</v>
      </c>
    </row>
    <row r="27" spans="1:9" x14ac:dyDescent="0.25">
      <c r="A27">
        <v>4642</v>
      </c>
      <c r="B27">
        <v>3.8045719999999998</v>
      </c>
      <c r="C27">
        <v>1.5496319999999999</v>
      </c>
      <c r="D27">
        <v>1.894539</v>
      </c>
      <c r="E27">
        <v>1.222574</v>
      </c>
      <c r="F27">
        <v>1.9246570000000001</v>
      </c>
      <c r="G27">
        <f t="shared" si="0"/>
        <v>110.27472311031049</v>
      </c>
      <c r="H27">
        <f t="shared" si="1"/>
        <v>4.3636380656551763</v>
      </c>
      <c r="I27">
        <f t="shared" si="2"/>
        <v>163.73971987404232</v>
      </c>
    </row>
    <row r="28" spans="1:9" x14ac:dyDescent="0.25">
      <c r="A28">
        <v>5412</v>
      </c>
      <c r="B28">
        <v>2.627786</v>
      </c>
      <c r="C28">
        <v>1.3532850000000001</v>
      </c>
      <c r="D28">
        <v>1.6542129999999999</v>
      </c>
      <c r="E28">
        <v>1.2223679999999999</v>
      </c>
      <c r="F28">
        <v>1.8782719999999999</v>
      </c>
      <c r="G28">
        <f t="shared" si="0"/>
        <v>107.61705837759615</v>
      </c>
      <c r="H28">
        <f t="shared" si="1"/>
        <v>4.3034525325531376</v>
      </c>
      <c r="I28">
        <f t="shared" si="2"/>
        <v>161.21946759542308</v>
      </c>
    </row>
    <row r="29" spans="1:9" x14ac:dyDescent="0.25">
      <c r="A29">
        <v>6310</v>
      </c>
      <c r="B29">
        <v>1.424361</v>
      </c>
      <c r="C29">
        <v>1.1781969999999999</v>
      </c>
      <c r="D29">
        <v>1.439543</v>
      </c>
      <c r="E29">
        <v>1.221819</v>
      </c>
      <c r="F29">
        <v>1.837275</v>
      </c>
      <c r="G29">
        <f t="shared" si="0"/>
        <v>105.26810330489832</v>
      </c>
      <c r="H29">
        <f t="shared" si="1"/>
        <v>4.2254743688944112</v>
      </c>
      <c r="I29">
        <f t="shared" si="2"/>
        <v>158.37307385774395</v>
      </c>
    </row>
    <row r="30" spans="1:9" x14ac:dyDescent="0.25">
      <c r="A30">
        <v>7356</v>
      </c>
      <c r="B30">
        <v>0.187807</v>
      </c>
      <c r="C30">
        <v>1.0218579999999999</v>
      </c>
      <c r="D30">
        <v>1.2492259999999999</v>
      </c>
      <c r="E30">
        <v>1.222505</v>
      </c>
      <c r="F30">
        <v>1.8009919999999999</v>
      </c>
      <c r="G30">
        <f t="shared" si="0"/>
        <v>103.18924053682515</v>
      </c>
      <c r="H30">
        <f t="shared" si="1"/>
        <v>4.1260635222046602</v>
      </c>
      <c r="I30">
        <f t="shared" si="2"/>
        <v>155.19390617157049</v>
      </c>
    </row>
    <row r="31" spans="1:9" x14ac:dyDescent="0.25">
      <c r="A31">
        <v>8577</v>
      </c>
      <c r="B31">
        <v>-1.065186</v>
      </c>
      <c r="C31">
        <v>0.88458700000000001</v>
      </c>
      <c r="D31">
        <v>1.0813299999999999</v>
      </c>
      <c r="E31">
        <v>1.2224120000000001</v>
      </c>
      <c r="F31">
        <v>1.7691460000000001</v>
      </c>
      <c r="G31">
        <f t="shared" si="0"/>
        <v>101.36459914245154</v>
      </c>
      <c r="H31">
        <f t="shared" si="1"/>
        <v>4.0013948131789947</v>
      </c>
      <c r="I31">
        <f t="shared" si="2"/>
        <v>151.67924976475322</v>
      </c>
    </row>
    <row r="32" spans="1:9" x14ac:dyDescent="0.25">
      <c r="A32">
        <v>10000</v>
      </c>
      <c r="B32">
        <v>-2.306683</v>
      </c>
      <c r="C32">
        <v>0.76677099999999998</v>
      </c>
      <c r="D32">
        <v>0.93742199999999998</v>
      </c>
      <c r="E32">
        <v>1.2225569999999999</v>
      </c>
      <c r="F32">
        <v>1.7413989999999999</v>
      </c>
      <c r="G32">
        <f t="shared" si="0"/>
        <v>99.774813148302044</v>
      </c>
      <c r="H32">
        <f t="shared" si="1"/>
        <v>3.8487873563575796</v>
      </c>
      <c r="I32">
        <f t="shared" si="2"/>
        <v>147.85796212631755</v>
      </c>
    </row>
    <row r="33" spans="1:9" x14ac:dyDescent="0.25">
      <c r="A33">
        <v>11660</v>
      </c>
      <c r="B33">
        <v>-3.5917129999999999</v>
      </c>
      <c r="C33">
        <v>0.66132400000000002</v>
      </c>
      <c r="D33">
        <v>0.80759300000000001</v>
      </c>
      <c r="E33">
        <v>1.2211749999999999</v>
      </c>
      <c r="F33">
        <v>1.7169460000000001</v>
      </c>
      <c r="G33">
        <f t="shared" si="0"/>
        <v>98.373759451868651</v>
      </c>
      <c r="H33">
        <f t="shared" si="1"/>
        <v>3.6667262999870482</v>
      </c>
      <c r="I33">
        <f t="shared" si="2"/>
        <v>143.77264240930728</v>
      </c>
    </row>
    <row r="34" spans="1:9" x14ac:dyDescent="0.25">
      <c r="A34">
        <v>13590</v>
      </c>
      <c r="B34">
        <v>-4.9185879999999997</v>
      </c>
      <c r="C34">
        <v>0.56763699999999995</v>
      </c>
      <c r="D34">
        <v>0.69339399999999995</v>
      </c>
      <c r="E34">
        <v>1.2215450000000001</v>
      </c>
      <c r="F34">
        <v>1.6956020000000001</v>
      </c>
      <c r="G34">
        <f t="shared" si="0"/>
        <v>97.150838333941422</v>
      </c>
      <c r="H34">
        <f t="shared" si="1"/>
        <v>3.4567262124852025</v>
      </c>
      <c r="I34">
        <f t="shared" si="2"/>
        <v>139.50635929823343</v>
      </c>
    </row>
    <row r="35" spans="1:9" x14ac:dyDescent="0.25">
      <c r="A35">
        <v>15850</v>
      </c>
      <c r="B35">
        <v>-6.2460500000000003</v>
      </c>
      <c r="C35">
        <v>0.48718899999999998</v>
      </c>
      <c r="D35">
        <v>0.59459600000000001</v>
      </c>
      <c r="E35">
        <v>1.2204619999999999</v>
      </c>
      <c r="F35">
        <v>1.6766760000000001</v>
      </c>
      <c r="G35">
        <f t="shared" si="0"/>
        <v>96.06645841087682</v>
      </c>
      <c r="H35">
        <f t="shared" si="1"/>
        <v>3.2207431392672596</v>
      </c>
      <c r="I35">
        <f t="shared" si="2"/>
        <v>135.11800481318218</v>
      </c>
    </row>
    <row r="36" spans="1:9" x14ac:dyDescent="0.25">
      <c r="A36">
        <v>18480</v>
      </c>
      <c r="B36">
        <v>-7.5521050000000001</v>
      </c>
      <c r="C36">
        <v>0.41917399999999999</v>
      </c>
      <c r="D36">
        <v>0.51061599999999996</v>
      </c>
      <c r="E36">
        <v>1.218148</v>
      </c>
      <c r="F36">
        <v>1.6601980000000001</v>
      </c>
      <c r="G36">
        <f t="shared" si="0"/>
        <v>95.122338556060257</v>
      </c>
      <c r="H36">
        <f t="shared" si="1"/>
        <v>2.9662469486826533</v>
      </c>
      <c r="I36">
        <f t="shared" si="2"/>
        <v>130.73582556150694</v>
      </c>
    </row>
    <row r="37" spans="1:9" x14ac:dyDescent="0.25">
      <c r="A37">
        <v>21540</v>
      </c>
      <c r="B37">
        <v>-8.8082259999999994</v>
      </c>
      <c r="C37">
        <v>0.362734</v>
      </c>
      <c r="D37">
        <v>0.44053300000000001</v>
      </c>
      <c r="E37">
        <v>1.2144779999999999</v>
      </c>
      <c r="F37">
        <v>1.6456630000000001</v>
      </c>
      <c r="G37">
        <f t="shared" si="0"/>
        <v>94.289544400837599</v>
      </c>
      <c r="H37">
        <f t="shared" si="1"/>
        <v>2.7011890126252331</v>
      </c>
      <c r="I37">
        <f t="shared" si="2"/>
        <v>126.45985785512001</v>
      </c>
    </row>
    <row r="38" spans="1:9" x14ac:dyDescent="0.25">
      <c r="A38">
        <v>25120</v>
      </c>
      <c r="B38">
        <v>-10.176655999999999</v>
      </c>
      <c r="C38">
        <v>0.309861</v>
      </c>
      <c r="D38">
        <v>0.37417600000000001</v>
      </c>
      <c r="E38">
        <v>1.20756</v>
      </c>
      <c r="F38">
        <v>1.632746</v>
      </c>
      <c r="G38">
        <f t="shared" si="0"/>
        <v>93.549454816867112</v>
      </c>
      <c r="H38">
        <f t="shared" si="1"/>
        <v>2.4327284686656241</v>
      </c>
      <c r="I38">
        <f t="shared" si="2"/>
        <v>122.35734174249046</v>
      </c>
    </row>
    <row r="39" spans="1:9" x14ac:dyDescent="0.25">
      <c r="A39">
        <v>29290</v>
      </c>
      <c r="B39">
        <v>-11.492718999999999</v>
      </c>
      <c r="C39">
        <v>0.26629599999999998</v>
      </c>
      <c r="D39">
        <v>0.32189600000000002</v>
      </c>
      <c r="E39">
        <v>1.2087920000000001</v>
      </c>
      <c r="F39">
        <v>1.6211690000000001</v>
      </c>
      <c r="G39">
        <f t="shared" si="0"/>
        <v>92.886141577444164</v>
      </c>
      <c r="H39">
        <f t="shared" si="1"/>
        <v>2.1702023938869197</v>
      </c>
      <c r="I39">
        <f t="shared" si="2"/>
        <v>118.51848056798723</v>
      </c>
    </row>
    <row r="40" spans="1:9" x14ac:dyDescent="0.25">
      <c r="A40">
        <v>34150</v>
      </c>
      <c r="B40">
        <v>-12.810525</v>
      </c>
      <c r="C40">
        <v>0.22880900000000001</v>
      </c>
      <c r="D40">
        <v>0.27951599999999999</v>
      </c>
      <c r="E40">
        <v>1.2216119999999999</v>
      </c>
      <c r="F40">
        <v>1.6107819999999999</v>
      </c>
      <c r="G40">
        <f t="shared" si="0"/>
        <v>92.29101031564177</v>
      </c>
      <c r="H40">
        <f t="shared" si="1"/>
        <v>1.9201102199989475</v>
      </c>
      <c r="I40">
        <f t="shared" si="2"/>
        <v>114.98758326292237</v>
      </c>
    </row>
    <row r="41" spans="1:9" x14ac:dyDescent="0.25">
      <c r="A41">
        <v>39810</v>
      </c>
      <c r="B41">
        <v>-14.087659</v>
      </c>
      <c r="C41">
        <v>0.197523</v>
      </c>
      <c r="D41">
        <v>0.241421</v>
      </c>
      <c r="E41">
        <v>1.222245</v>
      </c>
      <c r="F41">
        <v>1.6012029999999999</v>
      </c>
      <c r="G41">
        <f t="shared" si="0"/>
        <v>91.742174043685949</v>
      </c>
      <c r="H41">
        <f t="shared" si="1"/>
        <v>1.6873632467686057</v>
      </c>
      <c r="I41">
        <f t="shared" si="2"/>
        <v>111.79072020244473</v>
      </c>
    </row>
    <row r="42" spans="1:9" x14ac:dyDescent="0.25">
      <c r="A42">
        <v>46420</v>
      </c>
      <c r="B42">
        <v>-15.406093</v>
      </c>
      <c r="C42">
        <v>0.16970499999999999</v>
      </c>
      <c r="D42">
        <v>0.20738300000000001</v>
      </c>
      <c r="E42">
        <v>1.2220169999999999</v>
      </c>
      <c r="F42">
        <v>1.592433</v>
      </c>
      <c r="G42">
        <f t="shared" si="0"/>
        <v>91.239690057356228</v>
      </c>
      <c r="H42">
        <f t="shared" si="1"/>
        <v>1.4742080370422681</v>
      </c>
      <c r="I42">
        <f t="shared" si="2"/>
        <v>108.92457982880308</v>
      </c>
    </row>
    <row r="43" spans="1:9" x14ac:dyDescent="0.25">
      <c r="A43">
        <v>54120</v>
      </c>
      <c r="B43">
        <v>-16.747527000000002</v>
      </c>
      <c r="C43">
        <v>0.14541999999999999</v>
      </c>
      <c r="D43">
        <v>0.17769299999999999</v>
      </c>
      <c r="E43">
        <v>1.22193</v>
      </c>
      <c r="F43">
        <v>1.584651</v>
      </c>
      <c r="G43">
        <f t="shared" si="0"/>
        <v>90.793814301185421</v>
      </c>
      <c r="H43">
        <f t="shared" si="1"/>
        <v>1.2824155456861308</v>
      </c>
      <c r="I43">
        <f t="shared" si="2"/>
        <v>106.38730375243051</v>
      </c>
    </row>
    <row r="44" spans="1:9" x14ac:dyDescent="0.25">
      <c r="A44">
        <v>63100</v>
      </c>
      <c r="B44">
        <v>-18.046752000000001</v>
      </c>
      <c r="C44">
        <v>0.12521699999999999</v>
      </c>
      <c r="D44">
        <v>0.15302499999999999</v>
      </c>
      <c r="E44">
        <v>1.2220819999999999</v>
      </c>
      <c r="F44">
        <v>1.5775939999999999</v>
      </c>
      <c r="G44">
        <f t="shared" si="0"/>
        <v>90.389477985161591</v>
      </c>
      <c r="H44">
        <f t="shared" si="1"/>
        <v>1.111669144117069</v>
      </c>
      <c r="I44">
        <f t="shared" si="2"/>
        <v>104.15610669698064</v>
      </c>
    </row>
    <row r="45" spans="1:9" x14ac:dyDescent="0.25">
      <c r="A45">
        <v>73560</v>
      </c>
      <c r="B45">
        <v>-19.359801999999998</v>
      </c>
      <c r="C45">
        <v>0.10764899999999999</v>
      </c>
      <c r="D45">
        <v>0.13155800000000001</v>
      </c>
      <c r="E45">
        <v>1.222105</v>
      </c>
      <c r="F45">
        <v>1.5719540000000001</v>
      </c>
      <c r="G45">
        <f t="shared" si="0"/>
        <v>90.066329788707819</v>
      </c>
      <c r="H45">
        <f t="shared" si="1"/>
        <v>0.96121766335805736</v>
      </c>
      <c r="I45">
        <f t="shared" si="2"/>
        <v>102.20823594899481</v>
      </c>
    </row>
    <row r="46" spans="1:9" x14ac:dyDescent="0.25">
      <c r="A46">
        <v>85770</v>
      </c>
      <c r="B46">
        <v>-20.610996</v>
      </c>
      <c r="C46">
        <v>9.3206999999999998E-2</v>
      </c>
      <c r="D46">
        <v>0.113883</v>
      </c>
      <c r="E46">
        <v>1.2218249999999999</v>
      </c>
      <c r="F46">
        <v>1.5676639999999999</v>
      </c>
      <c r="G46">
        <f t="shared" si="0"/>
        <v>89.820530894596686</v>
      </c>
      <c r="H46">
        <f t="shared" si="1"/>
        <v>0.82929930646300809</v>
      </c>
      <c r="I46">
        <f t="shared" si="2"/>
        <v>100.51210398667905</v>
      </c>
    </row>
    <row r="47" spans="1:9" x14ac:dyDescent="0.25">
      <c r="A47">
        <v>100000</v>
      </c>
      <c r="B47">
        <v>-21.920041000000001</v>
      </c>
      <c r="C47">
        <v>8.0167000000000002E-2</v>
      </c>
      <c r="D47">
        <v>9.7936999999999996E-2</v>
      </c>
      <c r="E47">
        <v>1.221651</v>
      </c>
      <c r="F47">
        <v>1.566511</v>
      </c>
      <c r="G47">
        <f t="shared" si="0"/>
        <v>89.754468860818108</v>
      </c>
      <c r="H47">
        <f t="shared" si="1"/>
        <v>0.71444024981539123</v>
      </c>
      <c r="I47">
        <f t="shared" si="2"/>
        <v>99.042916551674608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lab4_parta1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Pridie, Isaiah R</dc:creator>
  <cp:lastModifiedBy>Pridie, Isaiah R</cp:lastModifiedBy>
  <dcterms:created xsi:type="dcterms:W3CDTF">2025-10-01T16:31:00Z</dcterms:created>
  <dcterms:modified xsi:type="dcterms:W3CDTF">2025-10-08T01:13:44Z</dcterms:modified>
</cp:coreProperties>
</file>