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/>
  <mc:AlternateContent xmlns:mc="http://schemas.openxmlformats.org/markup-compatibility/2006">
    <mc:Choice Requires="x15">
      <x15ac:absPath xmlns:x15ac="http://schemas.microsoft.com/office/spreadsheetml/2010/11/ac" url="U:\EE230\Lab03\"/>
    </mc:Choice>
  </mc:AlternateContent>
  <xr:revisionPtr revIDLastSave="0" documentId="13_ncr:1_{C275A923-E1FA-4850-BFFC-18D5FF4E3E2B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in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6" i="1"/>
  <c r="C5" i="1"/>
  <c r="C4" i="1"/>
  <c r="C3" i="1"/>
  <c r="C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<sst xmlns="http://schemas.openxmlformats.org/spreadsheetml/2006/main" count="5" uniqueCount="5">
  <si>
    <t>frequency (Hz)</t>
  </si>
  <si>
    <t>predicted magnitude</t>
  </si>
  <si>
    <t>predicted phase</t>
  </si>
  <si>
    <t>measured phase</t>
  </si>
  <si>
    <t>measured magnitude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</si>
</sst>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9"/>
      <name val="Genev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r>
              <a:rPr lang="en-US"/>
              <a:t>magnitude response</a:t>
            </a:r>
          </a:p>
        </c:rich>
      </c:tx>
      <c:layout>
        <c:manualLayout>
          <c:xMode val="edge"/>
          <c:yMode val="edge"/>
          <c:x val="5.8981233243967826E-2"/>
          <c:y val="4.7101449275362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55767496886879"/>
          <c:y val="0.15942064240086298"/>
          <c:w val="0.73458469080692435"/>
          <c:h val="0.7282624800584877"/>
        </c:manualLayout>
      </c:layout>
      <c:scatterChart>
        <c:scatterStyle val="smoothMarker"/>
        <c:varyColors val="0"/>
        <c:ser>
          <c:idx val="0"/>
          <c:order val="0"/>
          <c:tx>
            <c:v>calculated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none"/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65</c:v>
                </c:pt>
                <c:pt idx="5">
                  <c:v>100</c:v>
                </c:pt>
                <c:pt idx="6">
                  <c:v>150</c:v>
                </c:pt>
                <c:pt idx="7">
                  <c:v>250</c:v>
                </c:pt>
                <c:pt idx="8">
                  <c:v>400</c:v>
                </c:pt>
                <c:pt idx="9">
                  <c:v>650</c:v>
                </c:pt>
                <c:pt idx="10">
                  <c:v>1000</c:v>
                </c:pt>
                <c:pt idx="11">
                  <c:v>1500</c:v>
                </c:pt>
                <c:pt idx="12">
                  <c:v>2500</c:v>
                </c:pt>
                <c:pt idx="13">
                  <c:v>4000</c:v>
                </c:pt>
                <c:pt idx="14">
                  <c:v>6500</c:v>
                </c:pt>
                <c:pt idx="15">
                  <c:v>10000</c:v>
                </c:pt>
                <c:pt idx="16">
                  <c:v>15000</c:v>
                </c:pt>
                <c:pt idx="17">
                  <c:v>25000</c:v>
                </c:pt>
                <c:pt idx="18">
                  <c:v>40000</c:v>
                </c:pt>
                <c:pt idx="19">
                  <c:v>65000</c:v>
                </c:pt>
                <c:pt idx="20">
                  <c:v>100000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9.4243514442093664E-3</c:v>
                </c:pt>
                <c:pt idx="1">
                  <c:v>1.4135742491822067E-2</c:v>
                </c:pt>
                <c:pt idx="2">
                  <c:v>2.3555387352061721E-2</c:v>
                </c:pt>
                <c:pt idx="3">
                  <c:v>3.7672319166243216E-2</c:v>
                </c:pt>
                <c:pt idx="4">
                  <c:v>6.1146374007585796E-2</c:v>
                </c:pt>
                <c:pt idx="5">
                  <c:v>9.3831884435572471E-2</c:v>
                </c:pt>
                <c:pt idx="6">
                  <c:v>0.13997965934959569</c:v>
                </c:pt>
                <c:pt idx="7">
                  <c:v>0.22933918779791429</c:v>
                </c:pt>
                <c:pt idx="8">
                  <c:v>0.3527560665423255</c:v>
                </c:pt>
                <c:pt idx="9">
                  <c:v>0.52238031768159165</c:v>
                </c:pt>
                <c:pt idx="10">
                  <c:v>0.68586640514218455</c:v>
                </c:pt>
                <c:pt idx="11">
                  <c:v>0.81640069501255985</c:v>
                </c:pt>
                <c:pt idx="12">
                  <c:v>0.92052513983526418</c:v>
                </c:pt>
                <c:pt idx="13">
                  <c:v>0.96657297501195971</c:v>
                </c:pt>
                <c:pt idx="14">
                  <c:v>0.98693748356001387</c:v>
                </c:pt>
                <c:pt idx="15">
                  <c:v>0.99441812216083192</c:v>
                </c:pt>
                <c:pt idx="16">
                  <c:v>0.99750758739688472</c:v>
                </c:pt>
                <c:pt idx="17">
                  <c:v>0.99910058062468354</c:v>
                </c:pt>
                <c:pt idx="18">
                  <c:v>0.99964837528714867</c:v>
                </c:pt>
                <c:pt idx="19">
                  <c:v>0.99986679669855594</c:v>
                </c:pt>
                <c:pt idx="20">
                  <c:v>0.99994371511078006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A1-45B0-9270-258590AE4CB0}"/>
            </c:ext>
          </c:extLst>
        </c:ser>
        <c:ser>
          <c:idx val="1"/>
          <c:order val="1"/>
          <c:tx>
            <c:v>measured</c:v>
          </c:tx>
          <c:spPr>
            <a:ln w="25400">
              <a:solidFill>
                <a:srgbClr val="DD080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DD0806"/>
              </a:solidFill>
              <a:ln>
                <a:solidFill>
                  <a:srgbClr val="DD0806"/>
                </a:solidFill>
                <a:prstDash val="solid"/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65</c:v>
                </c:pt>
                <c:pt idx="5">
                  <c:v>100</c:v>
                </c:pt>
                <c:pt idx="6">
                  <c:v>150</c:v>
                </c:pt>
                <c:pt idx="7">
                  <c:v>250</c:v>
                </c:pt>
                <c:pt idx="8">
                  <c:v>400</c:v>
                </c:pt>
                <c:pt idx="9">
                  <c:v>650</c:v>
                </c:pt>
                <c:pt idx="10">
                  <c:v>1000</c:v>
                </c:pt>
                <c:pt idx="11">
                  <c:v>1500</c:v>
                </c:pt>
                <c:pt idx="12">
                  <c:v>2500</c:v>
                </c:pt>
                <c:pt idx="13">
                  <c:v>4000</c:v>
                </c:pt>
                <c:pt idx="14">
                  <c:v>6500</c:v>
                </c:pt>
                <c:pt idx="15">
                  <c:v>10000</c:v>
                </c:pt>
                <c:pt idx="16">
                  <c:v>15000</c:v>
                </c:pt>
                <c:pt idx="17">
                  <c:v>25000</c:v>
                </c:pt>
                <c:pt idx="18">
                  <c:v>40000</c:v>
                </c:pt>
                <c:pt idx="19">
                  <c:v>65000</c:v>
                </c:pt>
                <c:pt idx="20">
                  <c:v>100000</c:v>
                </c:pt>
              </c:numCache>
            </c:numRef>
          </c:xVal>
          <c:yVal>
            <c:numRef>
              <c:f>Sheet1!$C$2:$C$22</c:f>
              <c:numCache>
                <c:formatCode>0.00</c:formatCode>
                <c:ptCount val="21"/>
                <c:pt idx="0">
                  <c:v>1.1519999999999999E-2</c:v>
                </c:pt>
                <c:pt idx="1">
                  <c:v>1.7999999999999999E-2</c:v>
                </c:pt>
                <c:pt idx="2" formatCode="General">
                  <c:v>2.9199999999999997E-2</c:v>
                </c:pt>
                <c:pt idx="3" formatCode="General">
                  <c:v>4.6400000000000004E-2</c:v>
                </c:pt>
                <c:pt idx="4" formatCode="General">
                  <c:v>7.4800000000000005E-2</c:v>
                </c:pt>
                <c:pt idx="5">
                  <c:v>0.1152</c:v>
                </c:pt>
                <c:pt idx="6" formatCode="General">
                  <c:v>0.17068273092369476</c:v>
                </c:pt>
                <c:pt idx="7" formatCode="General">
                  <c:v>0.2763052208835341</c:v>
                </c:pt>
                <c:pt idx="8" formatCode="General">
                  <c:v>0.41612903225806452</c:v>
                </c:pt>
                <c:pt idx="9" formatCode="General">
                  <c:v>0.5910931174089068</c:v>
                </c:pt>
                <c:pt idx="10" formatCode="General">
                  <c:v>0.74285714285714288</c:v>
                </c:pt>
                <c:pt idx="11" formatCode="General">
                  <c:v>0.84426229508196726</c:v>
                </c:pt>
                <c:pt idx="12" formatCode="General">
                  <c:v>0.92592592592592582</c:v>
                </c:pt>
                <c:pt idx="13" formatCode="General">
                  <c:v>0.95884773662551437</c:v>
                </c:pt>
                <c:pt idx="14" formatCode="General">
                  <c:v>0.97933884297520668</c:v>
                </c:pt>
                <c:pt idx="15" formatCode="General">
                  <c:v>0.98760330578512401</c:v>
                </c:pt>
                <c:pt idx="16" formatCode="General">
                  <c:v>0.99173553719008267</c:v>
                </c:pt>
                <c:pt idx="17" formatCode="General">
                  <c:v>0.99173553719008267</c:v>
                </c:pt>
                <c:pt idx="18" formatCode="General">
                  <c:v>0.99586776859504145</c:v>
                </c:pt>
                <c:pt idx="19" formatCode="General">
                  <c:v>0.99586776859504145</c:v>
                </c:pt>
                <c:pt idx="20" formatCode="General">
                  <c:v>0.99173553719008267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A1-45B0-9270-258590AE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554160"/>
        <c:axId val="1"/>
      </c:scatterChart>
      <c:valAx>
        <c:axId val="1965554160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Helv"/>
                    <a:ea typeface="Helv"/>
                    <a:cs typeface="Helv"/>
                  </a:defRPr>
                </a:pPr>
                <a:r>
                  <a:rPr lang="en-US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38874015748031493"/>
              <c:y val="0.934784605728631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Helv"/>
                    <a:ea typeface="Helv"/>
                    <a:cs typeface="Helv"/>
                  </a:defRPr>
                </a:pPr>
                <a:r>
                  <a:rPr lang="en-US"/>
                  <a:t>vo/vs</a:t>
                </a:r>
              </a:p>
            </c:rich>
          </c:tx>
          <c:layout>
            <c:manualLayout>
              <c:xMode val="edge"/>
              <c:yMode val="edge"/>
              <c:x val="1.6085790884718499E-2"/>
              <c:y val="0.4492762181901175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endParaRPr lang="en-US"/>
          </a:p>
        </c:txPr>
        <c:crossAx val="1965554160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668891842492128"/>
          <c:y val="0.12717191483791709"/>
          <c:w val="0.32462957138991266"/>
          <c:h val="9.53789361284378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r>
              <a:rPr lang="en-US"/>
              <a:t>phase response</a:t>
            </a:r>
          </a:p>
        </c:rich>
      </c:tx>
      <c:layout>
        <c:manualLayout>
          <c:xMode val="edge"/>
          <c:yMode val="edge"/>
          <c:x val="7.4666876640419946E-2"/>
          <c:y val="5.5350553505535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66689236147844"/>
          <c:y val="0.17712209035201357"/>
          <c:w val="0.69866780382129523"/>
          <c:h val="0.67527796946705176"/>
        </c:manualLayout>
      </c:layout>
      <c:scatterChart>
        <c:scatterStyle val="lineMarker"/>
        <c:varyColors val="0"/>
        <c:ser>
          <c:idx val="5"/>
          <c:order val="0"/>
          <c:tx>
            <c:v>calculated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none"/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65</c:v>
                </c:pt>
                <c:pt idx="5">
                  <c:v>100</c:v>
                </c:pt>
                <c:pt idx="6">
                  <c:v>150</c:v>
                </c:pt>
                <c:pt idx="7">
                  <c:v>250</c:v>
                </c:pt>
                <c:pt idx="8">
                  <c:v>400</c:v>
                </c:pt>
                <c:pt idx="9">
                  <c:v>650</c:v>
                </c:pt>
                <c:pt idx="10">
                  <c:v>1000</c:v>
                </c:pt>
                <c:pt idx="11">
                  <c:v>1500</c:v>
                </c:pt>
                <c:pt idx="12">
                  <c:v>2500</c:v>
                </c:pt>
                <c:pt idx="13">
                  <c:v>4000</c:v>
                </c:pt>
                <c:pt idx="14">
                  <c:v>6500</c:v>
                </c:pt>
                <c:pt idx="15">
                  <c:v>10000</c:v>
                </c:pt>
                <c:pt idx="16">
                  <c:v>15000</c:v>
                </c:pt>
                <c:pt idx="17">
                  <c:v>25000</c:v>
                </c:pt>
                <c:pt idx="18">
                  <c:v>40000</c:v>
                </c:pt>
                <c:pt idx="19">
                  <c:v>65000</c:v>
                </c:pt>
                <c:pt idx="20">
                  <c:v>100000</c:v>
                </c:pt>
              </c:numCache>
            </c:numRef>
          </c:xVal>
          <c:yVal>
            <c:numRef>
              <c:f>Sheet1!$D$2:$D$22</c:f>
              <c:numCache>
                <c:formatCode>General</c:formatCode>
                <c:ptCount val="21"/>
                <c:pt idx="0">
                  <c:v>-89.460016443985026</c:v>
                </c:pt>
                <c:pt idx="1">
                  <c:v>-89.190054639633104</c:v>
                </c:pt>
                <c:pt idx="2">
                  <c:v>-88.650250880841625</c:v>
                </c:pt>
                <c:pt idx="3">
                  <c:v>-87.841024230767829</c:v>
                </c:pt>
                <c:pt idx="4">
                  <c:v>-86.494384005849042</c:v>
                </c:pt>
                <c:pt idx="5">
                  <c:v>-84.615908603632676</c:v>
                </c:pt>
                <c:pt idx="6">
                  <c:v>-81.953330776329864</c:v>
                </c:pt>
                <c:pt idx="7">
                  <c:v>-76.741829897088095</c:v>
                </c:pt>
                <c:pt idx="8">
                  <c:v>-69.344018592080374</c:v>
                </c:pt>
                <c:pt idx="9">
                  <c:v>-58.507945635741727</c:v>
                </c:pt>
                <c:pt idx="10">
                  <c:v>-46.696216848274375</c:v>
                </c:pt>
                <c:pt idx="11">
                  <c:v>-35.273904207209057</c:v>
                </c:pt>
                <c:pt idx="12">
                  <c:v>-22.997025076514582</c:v>
                </c:pt>
                <c:pt idx="13">
                  <c:v>-14.856063274389079</c:v>
                </c:pt>
                <c:pt idx="14">
                  <c:v>-9.2709649616928367</c:v>
                </c:pt>
                <c:pt idx="15">
                  <c:v>-6.0566156720098867</c:v>
                </c:pt>
                <c:pt idx="16">
                  <c:v>-4.0461114779544545</c:v>
                </c:pt>
                <c:pt idx="17">
                  <c:v>-2.4302519828274813</c:v>
                </c:pt>
                <c:pt idx="18">
                  <c:v>-1.5194627301622194</c:v>
                </c:pt>
                <c:pt idx="19">
                  <c:v>-0.93519019673974002</c:v>
                </c:pt>
                <c:pt idx="20">
                  <c:v>-0.6079048035376704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E2-4891-A6AD-B0F6891BE309}"/>
            </c:ext>
          </c:extLst>
        </c:ser>
        <c:ser>
          <c:idx val="6"/>
          <c:order val="1"/>
          <c:tx>
            <c:v>measured</c:v>
          </c:tx>
          <c:spPr>
            <a:ln w="25400">
              <a:solidFill>
                <a:srgbClr val="DD080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DD0806"/>
              </a:solidFill>
              <a:ln>
                <a:solidFill>
                  <a:srgbClr val="DD0806"/>
                </a:solidFill>
                <a:prstDash val="solid"/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65</c:v>
                </c:pt>
                <c:pt idx="5">
                  <c:v>100</c:v>
                </c:pt>
                <c:pt idx="6">
                  <c:v>150</c:v>
                </c:pt>
                <c:pt idx="7">
                  <c:v>250</c:v>
                </c:pt>
                <c:pt idx="8">
                  <c:v>400</c:v>
                </c:pt>
                <c:pt idx="9">
                  <c:v>650</c:v>
                </c:pt>
                <c:pt idx="10">
                  <c:v>1000</c:v>
                </c:pt>
                <c:pt idx="11">
                  <c:v>1500</c:v>
                </c:pt>
                <c:pt idx="12">
                  <c:v>2500</c:v>
                </c:pt>
                <c:pt idx="13">
                  <c:v>4000</c:v>
                </c:pt>
                <c:pt idx="14">
                  <c:v>6500</c:v>
                </c:pt>
                <c:pt idx="15">
                  <c:v>10000</c:v>
                </c:pt>
                <c:pt idx="16">
                  <c:v>15000</c:v>
                </c:pt>
                <c:pt idx="17">
                  <c:v>25000</c:v>
                </c:pt>
                <c:pt idx="18">
                  <c:v>40000</c:v>
                </c:pt>
                <c:pt idx="19">
                  <c:v>65000</c:v>
                </c:pt>
                <c:pt idx="20">
                  <c:v>100000</c:v>
                </c:pt>
              </c:numCache>
            </c:numRef>
          </c:xVal>
          <c:yVal>
            <c:numRef>
              <c:f>Sheet1!$E$2:$E$22</c:f>
              <c:numCache>
                <c:formatCode>General</c:formatCode>
                <c:ptCount val="21"/>
                <c:pt idx="0">
                  <c:v>-87.84</c:v>
                </c:pt>
                <c:pt idx="1">
                  <c:v>-85.32</c:v>
                </c:pt>
                <c:pt idx="2">
                  <c:v>-90</c:v>
                </c:pt>
                <c:pt idx="3">
                  <c:v>-87.84</c:v>
                </c:pt>
                <c:pt idx="4">
                  <c:v>-84.24</c:v>
                </c:pt>
                <c:pt idx="5">
                  <c:v>-82.8</c:v>
                </c:pt>
                <c:pt idx="6">
                  <c:v>-80</c:v>
                </c:pt>
                <c:pt idx="7">
                  <c:v>-73.5</c:v>
                </c:pt>
                <c:pt idx="8">
                  <c:v>-65</c:v>
                </c:pt>
                <c:pt idx="9">
                  <c:v>-52</c:v>
                </c:pt>
                <c:pt idx="10">
                  <c:v>-40.5</c:v>
                </c:pt>
                <c:pt idx="11">
                  <c:v>-29.5</c:v>
                </c:pt>
                <c:pt idx="12">
                  <c:v>-20</c:v>
                </c:pt>
                <c:pt idx="13">
                  <c:v>-13</c:v>
                </c:pt>
                <c:pt idx="14">
                  <c:v>-9.5</c:v>
                </c:pt>
                <c:pt idx="15">
                  <c:v>-6</c:v>
                </c:pt>
                <c:pt idx="16">
                  <c:v>-4</c:v>
                </c:pt>
                <c:pt idx="17">
                  <c:v>-2.5</c:v>
                </c:pt>
                <c:pt idx="18">
                  <c:v>-1.6</c:v>
                </c:pt>
                <c:pt idx="19">
                  <c:v>-1</c:v>
                </c:pt>
                <c:pt idx="20">
                  <c:v>-0.6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E2-4891-A6AD-B0F6891BE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199520"/>
        <c:axId val="1"/>
      </c:scatterChart>
      <c:valAx>
        <c:axId val="2103199520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Helv"/>
                    <a:ea typeface="Helv"/>
                    <a:cs typeface="Helv"/>
                  </a:defRPr>
                </a:pPr>
                <a:r>
                  <a:rPr lang="en-US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40266729658792649"/>
              <c:y val="0.93358107911787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endParaRPr lang="en-US"/>
          </a:p>
        </c:txPr>
        <c:crossAx val="1"/>
        <c:crossesAt val="-90"/>
        <c:crossBetween val="midCat"/>
      </c:valAx>
      <c:valAx>
        <c:axId val="1"/>
        <c:scaling>
          <c:orientation val="minMax"/>
          <c:max val="0"/>
          <c:min val="-9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75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</a:rPr>
                  <a:t>relative phase (°)</a:t>
                </a:r>
              </a:p>
            </c:rich>
          </c:tx>
          <c:layout>
            <c:manualLayout>
              <c:xMode val="edge"/>
              <c:yMode val="edge"/>
              <c:x val="2.9333333333333333E-2"/>
              <c:y val="0.346864049742859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endParaRPr lang="en-US"/>
          </a:p>
        </c:txPr>
        <c:crossAx val="2103199520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501115151071136"/>
          <c:y val="9.2817560015701558E-2"/>
          <c:w val="0.27115813519642745"/>
          <c:h val="9.880578969413392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5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0</xdr:row>
      <xdr:rowOff>180975</xdr:rowOff>
    </xdr:from>
    <xdr:to>
      <xdr:col>12</xdr:col>
      <xdr:colOff>247650</xdr:colOff>
      <xdr:row>21</xdr:row>
      <xdr:rowOff>85725</xdr:rowOff>
    </xdr:to>
    <xdr:graphicFrame macro="">
      <xdr:nvGraphicFramePr>
        <xdr:cNvPr id="1039" name="Chart 1">
          <a:extLst>
            <a:ext uri="{FF2B5EF4-FFF2-40B4-BE49-F238E27FC236}">
              <a16:creationId xmlns:a16="http://schemas.microsoft.com/office/drawing/2014/main" id="{631BEE10-4D22-4665-AB43-8C12356BA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447675</xdr:colOff>
      <xdr:row>22</xdr:row>
      <xdr:rowOff>19050</xdr:rowOff>
    </xdr:from>
    <xdr:to>
      <xdr:col>12</xdr:col>
      <xdr:colOff>266700</xdr:colOff>
      <xdr:row>43</xdr:row>
      <xdr:rowOff>0</xdr:rowOff>
    </xdr:to>
    <xdr:graphicFrame macro="">
      <xdr:nvGraphicFramePr>
        <xdr:cNvPr id="1040" name="Chart 2">
          <a:extLst>
            <a:ext uri="{FF2B5EF4-FFF2-40B4-BE49-F238E27FC236}">
              <a16:creationId xmlns:a16="http://schemas.microsoft.com/office/drawing/2014/main" id="{4081F2DF-32D9-4AE3-887E-4E5E224B9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Normal="100" workbookViewId="0">
      <selection activeCell="E27" sqref="E27"/>
    </sheetView>
  </sheetViews>
  <sheetFormatPr defaultRowHeight="12"/>
  <cols>
    <col min="1" max="2" width="13.28515625" style="2" customWidth="1"/>
    <col min="3" max="3" width="13.28515625" style="1" customWidth="1"/>
    <col min="4" max="5" width="11.85546875" style="2" customWidth="1"/>
    <col min="6" max="256" width="11.42578125" customWidth="1"/>
  </cols>
  <sheetData>
    <row r="1" spans="1:5" ht="27" customHeight="1">
      <c r="A1" s="3" t="s">
        <v>0</v>
      </c>
      <c r="B1" s="6" t="s">
        <v>1</v>
      </c>
      <c r="C1" s="6" t="s">
        <v>4</v>
      </c>
      <c r="D1" s="6" t="s">
        <v>2</v>
      </c>
      <c r="E1" s="6" t="s">
        <v>3</v>
      </c>
    </row>
    <row r="2" spans="1:5" ht="12" customHeight="1">
      <c r="A2" s="5">
        <v>10</v>
      </c>
      <c r="B2" s="5">
        <f>((2*3.14159*A2)*1500*0.0000001)/(SQRT(1+((2*3.14159*A2)*1500*0.0000001)^2))</f>
        <v>9.4243514442093664E-3</v>
      </c>
      <c r="C2" s="4">
        <f>0.0288/2.5</f>
        <v>1.1519999999999999E-2</v>
      </c>
      <c r="D2" s="5">
        <f>DEGREES(-ATAN(1/(2*3.14159*A2*1500*0.0000001)))</f>
        <v>-89.460016443985026</v>
      </c>
      <c r="E2" s="5">
        <v>-87.84</v>
      </c>
    </row>
    <row r="3" spans="1:5" ht="12" customHeight="1">
      <c r="A3" s="5">
        <v>15</v>
      </c>
      <c r="B3" s="5">
        <f t="shared" ref="B3:B22" si="0">((2*3.14159*A3)*1500*0.0000001)/(SQRT(1+((2*3.14159*A3)*1500*0.0000001)^2))</f>
        <v>1.4135742491822067E-2</v>
      </c>
      <c r="C3" s="4">
        <f>0.045/2.5</f>
        <v>1.7999999999999999E-2</v>
      </c>
      <c r="D3" s="5">
        <f t="shared" ref="D3:D22" si="1">DEGREES(-ATAN(1/(2*3.14159*A3*1500*0.0000001)))</f>
        <v>-89.190054639633104</v>
      </c>
      <c r="E3">
        <v>-85.32</v>
      </c>
    </row>
    <row r="4" spans="1:5" ht="12" customHeight="1">
      <c r="A4" s="5">
        <v>25</v>
      </c>
      <c r="B4" s="5">
        <f t="shared" si="0"/>
        <v>2.3555387352061721E-2</v>
      </c>
      <c r="C4">
        <f>0.073/2.5</f>
        <v>2.9199999999999997E-2</v>
      </c>
      <c r="D4" s="5">
        <f t="shared" si="1"/>
        <v>-88.650250880841625</v>
      </c>
      <c r="E4">
        <v>-90</v>
      </c>
    </row>
    <row r="5" spans="1:5" ht="12" customHeight="1">
      <c r="A5" s="5">
        <v>40</v>
      </c>
      <c r="B5" s="5">
        <f t="shared" si="0"/>
        <v>3.7672319166243216E-2</v>
      </c>
      <c r="C5">
        <f>0.116/2.5</f>
        <v>4.6400000000000004E-2</v>
      </c>
      <c r="D5" s="5">
        <f t="shared" si="1"/>
        <v>-87.841024230767829</v>
      </c>
      <c r="E5">
        <v>-87.84</v>
      </c>
    </row>
    <row r="6" spans="1:5">
      <c r="A6" s="2">
        <v>65</v>
      </c>
      <c r="B6" s="5">
        <f t="shared" si="0"/>
        <v>6.1146374007585796E-2</v>
      </c>
      <c r="C6">
        <f>0.187/2.5</f>
        <v>7.4800000000000005E-2</v>
      </c>
      <c r="D6" s="5">
        <f t="shared" si="1"/>
        <v>-86.494384005849042</v>
      </c>
      <c r="E6">
        <v>-84.24</v>
      </c>
    </row>
    <row r="7" spans="1:5">
      <c r="A7" s="2">
        <v>100</v>
      </c>
      <c r="B7" s="5">
        <f t="shared" si="0"/>
        <v>9.3831884435572471E-2</v>
      </c>
      <c r="C7" s="4">
        <f>0.288/2.5</f>
        <v>0.1152</v>
      </c>
      <c r="D7" s="5">
        <f t="shared" si="1"/>
        <v>-84.615908603632676</v>
      </c>
      <c r="E7">
        <v>-82.8</v>
      </c>
    </row>
    <row r="8" spans="1:5">
      <c r="A8" s="2">
        <v>150</v>
      </c>
      <c r="B8" s="5">
        <f t="shared" si="0"/>
        <v>0.13997965934959569</v>
      </c>
      <c r="C8">
        <f>0.425/2.49</f>
        <v>0.17068273092369476</v>
      </c>
      <c r="D8" s="5">
        <f t="shared" si="1"/>
        <v>-81.953330776329864</v>
      </c>
      <c r="E8">
        <v>-80</v>
      </c>
    </row>
    <row r="9" spans="1:5">
      <c r="A9" s="2">
        <v>250</v>
      </c>
      <c r="B9" s="5">
        <f t="shared" si="0"/>
        <v>0.22933918779791429</v>
      </c>
      <c r="C9">
        <f>0.688/2.49</f>
        <v>0.2763052208835341</v>
      </c>
      <c r="D9" s="5">
        <f t="shared" si="1"/>
        <v>-76.741829897088095</v>
      </c>
      <c r="E9">
        <v>-73.5</v>
      </c>
    </row>
    <row r="10" spans="1:5">
      <c r="A10" s="2">
        <v>400</v>
      </c>
      <c r="B10" s="5">
        <f t="shared" si="0"/>
        <v>0.3527560665423255</v>
      </c>
      <c r="C10">
        <f>1.032/2.48</f>
        <v>0.41612903225806452</v>
      </c>
      <c r="D10" s="5">
        <f t="shared" si="1"/>
        <v>-69.344018592080374</v>
      </c>
      <c r="E10">
        <v>-65</v>
      </c>
    </row>
    <row r="11" spans="1:5">
      <c r="A11" s="2">
        <v>650</v>
      </c>
      <c r="B11" s="5">
        <f t="shared" si="0"/>
        <v>0.52238031768159165</v>
      </c>
      <c r="C11">
        <f>1.46/2.47</f>
        <v>0.5910931174089068</v>
      </c>
      <c r="D11" s="5">
        <f t="shared" si="1"/>
        <v>-58.507945635741727</v>
      </c>
      <c r="E11">
        <v>-52</v>
      </c>
    </row>
    <row r="12" spans="1:5">
      <c r="A12" s="2">
        <v>1000</v>
      </c>
      <c r="B12" s="5">
        <f t="shared" si="0"/>
        <v>0.68586640514218455</v>
      </c>
      <c r="C12">
        <f>1.82/2.45</f>
        <v>0.74285714285714288</v>
      </c>
      <c r="D12" s="5">
        <f t="shared" si="1"/>
        <v>-46.696216848274375</v>
      </c>
      <c r="E12">
        <v>-40.5</v>
      </c>
    </row>
    <row r="13" spans="1:5">
      <c r="A13" s="2">
        <v>1500</v>
      </c>
      <c r="B13" s="5">
        <f t="shared" si="0"/>
        <v>0.81640069501255985</v>
      </c>
      <c r="C13">
        <f>2.06/2.44</f>
        <v>0.84426229508196726</v>
      </c>
      <c r="D13" s="5">
        <f t="shared" si="1"/>
        <v>-35.273904207209057</v>
      </c>
      <c r="E13">
        <v>-29.5</v>
      </c>
    </row>
    <row r="14" spans="1:5">
      <c r="A14" s="2">
        <v>2500</v>
      </c>
      <c r="B14" s="5">
        <f t="shared" si="0"/>
        <v>0.92052513983526418</v>
      </c>
      <c r="C14">
        <f>2.25/2.43</f>
        <v>0.92592592592592582</v>
      </c>
      <c r="D14" s="5">
        <f t="shared" si="1"/>
        <v>-22.997025076514582</v>
      </c>
      <c r="E14">
        <v>-20</v>
      </c>
    </row>
    <row r="15" spans="1:5">
      <c r="A15" s="2">
        <v>4000</v>
      </c>
      <c r="B15" s="5">
        <f t="shared" si="0"/>
        <v>0.96657297501195971</v>
      </c>
      <c r="C15">
        <f>2.33/2.43</f>
        <v>0.95884773662551437</v>
      </c>
      <c r="D15" s="5">
        <f t="shared" si="1"/>
        <v>-14.856063274389079</v>
      </c>
      <c r="E15">
        <v>-13</v>
      </c>
    </row>
    <row r="16" spans="1:5">
      <c r="A16" s="2">
        <v>6500</v>
      </c>
      <c r="B16" s="5">
        <f t="shared" si="0"/>
        <v>0.98693748356001387</v>
      </c>
      <c r="C16">
        <f>2.37/2.42</f>
        <v>0.97933884297520668</v>
      </c>
      <c r="D16" s="5">
        <f t="shared" si="1"/>
        <v>-9.2709649616928367</v>
      </c>
      <c r="E16">
        <v>-9.5</v>
      </c>
    </row>
    <row r="17" spans="1:5">
      <c r="A17" s="2">
        <v>10000</v>
      </c>
      <c r="B17" s="5">
        <f t="shared" si="0"/>
        <v>0.99441812216083192</v>
      </c>
      <c r="C17">
        <f>2.39/2.42</f>
        <v>0.98760330578512401</v>
      </c>
      <c r="D17" s="5">
        <f t="shared" si="1"/>
        <v>-6.0566156720098867</v>
      </c>
      <c r="E17">
        <v>-6</v>
      </c>
    </row>
    <row r="18" spans="1:5">
      <c r="A18" s="2">
        <v>15000</v>
      </c>
      <c r="B18" s="5">
        <f t="shared" si="0"/>
        <v>0.99750758739688472</v>
      </c>
      <c r="C18">
        <f>2.4/2.42</f>
        <v>0.99173553719008267</v>
      </c>
      <c r="D18" s="5">
        <f t="shared" si="1"/>
        <v>-4.0461114779544545</v>
      </c>
      <c r="E18">
        <v>-4</v>
      </c>
    </row>
    <row r="19" spans="1:5">
      <c r="A19" s="2">
        <v>25000</v>
      </c>
      <c r="B19" s="5">
        <f t="shared" si="0"/>
        <v>0.99910058062468354</v>
      </c>
      <c r="C19">
        <f>2.4/2.42</f>
        <v>0.99173553719008267</v>
      </c>
      <c r="D19" s="5">
        <f t="shared" si="1"/>
        <v>-2.4302519828274813</v>
      </c>
      <c r="E19">
        <v>-2.5</v>
      </c>
    </row>
    <row r="20" spans="1:5">
      <c r="A20" s="2">
        <v>40000</v>
      </c>
      <c r="B20" s="5">
        <f t="shared" si="0"/>
        <v>0.99964837528714867</v>
      </c>
      <c r="C20">
        <f>2.41/2.42</f>
        <v>0.99586776859504145</v>
      </c>
      <c r="D20" s="5">
        <f t="shared" si="1"/>
        <v>-1.5194627301622194</v>
      </c>
      <c r="E20">
        <v>-1.6</v>
      </c>
    </row>
    <row r="21" spans="1:5">
      <c r="A21" s="2">
        <v>65000</v>
      </c>
      <c r="B21" s="5">
        <f t="shared" si="0"/>
        <v>0.99986679669855594</v>
      </c>
      <c r="C21">
        <f>2.41/2.42</f>
        <v>0.99586776859504145</v>
      </c>
      <c r="D21" s="5">
        <f t="shared" si="1"/>
        <v>-0.93519019673974002</v>
      </c>
      <c r="E21">
        <v>-1</v>
      </c>
    </row>
    <row r="22" spans="1:5">
      <c r="A22" s="2">
        <v>100000</v>
      </c>
      <c r="B22" s="5">
        <f t="shared" si="0"/>
        <v>0.99994371511078006</v>
      </c>
      <c r="C22">
        <f>2.4/2.42</f>
        <v>0.99173553719008267</v>
      </c>
      <c r="D22" s="5">
        <f t="shared" si="1"/>
        <v>-0.6079048035376704</v>
      </c>
      <c r="E22">
        <v>-0.6</v>
      </c>
    </row>
    <row r="23" spans="1:5">
      <c r="B23"/>
      <c r="C23"/>
      <c r="D23"/>
      <c r="E23"/>
    </row>
    <row r="24" spans="1:5">
      <c r="B24"/>
      <c r="C24"/>
      <c r="D24"/>
      <c r="E24"/>
    </row>
    <row r="25" spans="1:5">
      <c r="B25"/>
      <c r="C25"/>
      <c r="D25"/>
      <c r="E25"/>
    </row>
    <row r="26" spans="1:5">
      <c r="B26"/>
      <c r="C26"/>
      <c r="D26"/>
      <c r="E26"/>
    </row>
    <row r="27" spans="1:5">
      <c r="B27"/>
      <c r="C27"/>
      <c r="D27"/>
      <c r="E27"/>
    </row>
    <row r="28" spans="1:5">
      <c r="B28"/>
      <c r="C28"/>
      <c r="D28"/>
      <c r="E28"/>
    </row>
    <row r="29" spans="1:5">
      <c r="B29"/>
      <c r="C29"/>
      <c r="D29"/>
      <c r="E29"/>
    </row>
    <row r="30" spans="1:5">
      <c r="B30"/>
      <c r="C30"/>
      <c r="D30"/>
      <c r="E30"/>
    </row>
    <row r="31" spans="1:5">
      <c r="B31"/>
      <c r="C31"/>
      <c r="D31"/>
      <c r="E31"/>
    </row>
    <row r="32" spans="1:5">
      <c r="B32"/>
      <c r="C32"/>
      <c r="D32"/>
      <c r="E32"/>
    </row>
    <row r="33" spans="2:5">
      <c r="B33"/>
      <c r="C33"/>
      <c r="D33"/>
      <c r="E33"/>
    </row>
    <row r="34" spans="2:5">
      <c r="B34"/>
      <c r="D34"/>
    </row>
    <row r="35" spans="2:5">
      <c r="B35"/>
      <c r="D35"/>
    </row>
    <row r="36" spans="2:5">
      <c r="B36"/>
      <c r="D36"/>
    </row>
    <row r="37" spans="2:5">
      <c r="B37"/>
      <c r="D37"/>
    </row>
    <row r="38" spans="2:5">
      <c r="B38"/>
      <c r="D38"/>
    </row>
  </sheetData>
  <phoneticPr fontId="1" type="noConversion"/>
  <pageMargins left="0.75" right="0.75" top="1" bottom="1" header="0.5" footer="0.5"/>
  <pageSetup paperSize="0" scale="68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"/>
  <cols>
    <col min="1" max="256" width="11.4257812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"/>
  <cols>
    <col min="1" max="256" width="11.4257812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Tuttle</dc:creator>
  <cp:lastModifiedBy>Pridie, Isaiah R</cp:lastModifiedBy>
  <cp:lastPrinted>2001-01-16T07:43:08Z</cp:lastPrinted>
  <dcterms:created xsi:type="dcterms:W3CDTF">2001-01-16T05:18:44Z</dcterms:created>
  <dcterms:modified xsi:type="dcterms:W3CDTF">2025-09-24T18:22:37Z</dcterms:modified>
</cp:coreProperties>
</file>