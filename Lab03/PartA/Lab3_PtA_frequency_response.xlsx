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ate1904="1"/>
  <mc:AlternateContent xmlns:mc="http://schemas.openxmlformats.org/markup-compatibility/2006">
    <mc:Choice Requires="x15">
      <x15ac:absPath xmlns:x15ac="http://schemas.microsoft.com/office/spreadsheetml/2010/11/ac" url="U:\EE230\Lab03\"/>
    </mc:Choice>
  </mc:AlternateContent>
  <xr:revisionPtr revIDLastSave="0" documentId="13_ncr:1_{EEA02A49-897B-4B7D-BB5F-A04729A045BF}" xr6:coauthVersionLast="47" xr6:coauthVersionMax="47" xr10:uidLastSave="{00000000-0000-0000-0000-000000000000}"/>
  <bookViews>
    <workbookView xWindow="-105" yWindow="0" windowWidth="14610" windowHeight="17385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Sheet1!$A$1:$K$41</definedName>
    <definedName name="vin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" i="1"/>
</calcChain>
</file>

<file path=xl/sharedStrings.xml><?xml version="1.0" encoding="utf-8"?>
<sst xmlns="http://schemas.openxmlformats.org/spreadsheetml/2006/main" count="5" uniqueCount="5">
  <si>
    <t>frequency (Hz)</t>
  </si>
  <si>
    <t>predicted magnitude</t>
  </si>
  <si>
    <t>predicted phase</t>
  </si>
  <si>
    <t>measured phase</t>
  </si>
  <si>
    <t>measured magnitude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</si>
</sst>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9"/>
      <name val="Geneva"/>
    </font>
    <font>
      <sz val="8"/>
      <name val="Verdan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49" fontId="0" fillId="0" borderId="1" xfId="0" applyNumberForma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25" b="1" i="0" u="none" strike="noStrike" baseline="0">
                <a:solidFill>
                  <a:srgbClr val="000000"/>
                </a:solidFill>
                <a:latin typeface="Helv"/>
                <a:ea typeface="Helv"/>
                <a:cs typeface="Helv"/>
              </a:defRPr>
            </a:pPr>
            <a:r>
              <a:rPr lang="en-US"/>
              <a:t>magnitude response</a:t>
            </a:r>
          </a:p>
        </c:rich>
      </c:tx>
      <c:layout>
        <c:manualLayout>
          <c:xMode val="edge"/>
          <c:yMode val="edge"/>
          <c:x val="5.8981233243967826E-2"/>
          <c:y val="4.71014492753623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55767496886879"/>
          <c:y val="0.15942064240086298"/>
          <c:w val="0.73458469080692435"/>
          <c:h val="0.7282624800584877"/>
        </c:manualLayout>
      </c:layout>
      <c:scatterChart>
        <c:scatterStyle val="smoothMarker"/>
        <c:varyColors val="0"/>
        <c:ser>
          <c:idx val="0"/>
          <c:order val="0"/>
          <c:tx>
            <c:v>calculated</c:v>
          </c:tx>
          <c:spPr>
            <a:ln w="25400">
              <a:solidFill>
                <a:srgbClr val="000090"/>
              </a:solidFill>
              <a:prstDash val="solid"/>
            </a:ln>
          </c:spPr>
          <c:marker>
            <c:symbol val="none"/>
          </c:marker>
          <c:xVal>
            <c:numRef>
              <c:f>Sheet1!$A$2:$A$22</c:f>
              <c:numCache>
                <c:formatCode>General</c:formatCode>
                <c:ptCount val="21"/>
                <c:pt idx="0">
                  <c:v>10</c:v>
                </c:pt>
                <c:pt idx="1">
                  <c:v>15</c:v>
                </c:pt>
                <c:pt idx="2">
                  <c:v>25</c:v>
                </c:pt>
                <c:pt idx="3">
                  <c:v>40</c:v>
                </c:pt>
                <c:pt idx="4">
                  <c:v>65</c:v>
                </c:pt>
                <c:pt idx="5">
                  <c:v>100</c:v>
                </c:pt>
                <c:pt idx="6">
                  <c:v>150</c:v>
                </c:pt>
                <c:pt idx="7">
                  <c:v>250</c:v>
                </c:pt>
                <c:pt idx="8">
                  <c:v>400</c:v>
                </c:pt>
                <c:pt idx="9">
                  <c:v>650</c:v>
                </c:pt>
                <c:pt idx="10">
                  <c:v>1000</c:v>
                </c:pt>
                <c:pt idx="11">
                  <c:v>1500</c:v>
                </c:pt>
                <c:pt idx="12">
                  <c:v>2500</c:v>
                </c:pt>
                <c:pt idx="13">
                  <c:v>4000</c:v>
                </c:pt>
                <c:pt idx="14">
                  <c:v>6500</c:v>
                </c:pt>
                <c:pt idx="15">
                  <c:v>10000</c:v>
                </c:pt>
                <c:pt idx="16">
                  <c:v>15000</c:v>
                </c:pt>
                <c:pt idx="17">
                  <c:v>25000</c:v>
                </c:pt>
                <c:pt idx="18">
                  <c:v>40000</c:v>
                </c:pt>
                <c:pt idx="19">
                  <c:v>65000</c:v>
                </c:pt>
                <c:pt idx="20">
                  <c:v>100000</c:v>
                </c:pt>
              </c:numCache>
            </c:numRef>
          </c:xVal>
          <c:yVal>
            <c:numRef>
              <c:f>Sheet1!$B$2:$B$22</c:f>
              <c:numCache>
                <c:formatCode>General</c:formatCode>
                <c:ptCount val="21"/>
                <c:pt idx="0">
                  <c:v>0.99998026140897722</c:v>
                </c:pt>
                <c:pt idx="1">
                  <c:v>0.99995558981379573</c:v>
                </c:pt>
                <c:pt idx="2">
                  <c:v>0.99987665297888417</c:v>
                </c:pt>
                <c:pt idx="3">
                  <c:v>0.99968432273384611</c:v>
                </c:pt>
                <c:pt idx="4">
                  <c:v>0.99916706167332636</c:v>
                </c:pt>
                <c:pt idx="5">
                  <c:v>0.99803190781859308</c:v>
                </c:pt>
                <c:pt idx="6">
                  <c:v>0.99558805610717804</c:v>
                </c:pt>
                <c:pt idx="7">
                  <c:v>0.9878867220131875</c:v>
                </c:pt>
                <c:pt idx="8">
                  <c:v>0.96983888018277864</c:v>
                </c:pt>
                <c:pt idx="9">
                  <c:v>0.92576877421844106</c:v>
                </c:pt>
                <c:pt idx="10">
                  <c:v>0.84673321839866744</c:v>
                </c:pt>
                <c:pt idx="11">
                  <c:v>0.72772747254541437</c:v>
                </c:pt>
                <c:pt idx="12">
                  <c:v>0.53702959493459212</c:v>
                </c:pt>
                <c:pt idx="13">
                  <c:v>0.36969811716018608</c:v>
                </c:pt>
                <c:pt idx="14">
                  <c:v>0.23782841552913117</c:v>
                </c:pt>
                <c:pt idx="15">
                  <c:v>0.15717685495938608</c:v>
                </c:pt>
                <c:pt idx="16">
                  <c:v>0.10551112888280903</c:v>
                </c:pt>
                <c:pt idx="17">
                  <c:v>6.3533415358731735E-2</c:v>
                </c:pt>
                <c:pt idx="18">
                  <c:v>3.9757311009681023E-2</c:v>
                </c:pt>
                <c:pt idx="19">
                  <c:v>2.4478059919228759E-2</c:v>
                </c:pt>
                <c:pt idx="20">
                  <c:v>1.5913492409295779E-2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6A1-45B0-9270-258590AE4CB0}"/>
            </c:ext>
          </c:extLst>
        </c:ser>
        <c:ser>
          <c:idx val="1"/>
          <c:order val="1"/>
          <c:tx>
            <c:v>measured</c:v>
          </c:tx>
          <c:spPr>
            <a:ln w="25400">
              <a:solidFill>
                <a:srgbClr val="DD0806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DD0806"/>
              </a:solidFill>
              <a:ln>
                <a:solidFill>
                  <a:srgbClr val="DD0806"/>
                </a:solidFill>
                <a:prstDash val="solid"/>
              </a:ln>
            </c:spPr>
          </c:marker>
          <c:xVal>
            <c:numRef>
              <c:f>Sheet1!$A$2:$A$22</c:f>
              <c:numCache>
                <c:formatCode>General</c:formatCode>
                <c:ptCount val="21"/>
                <c:pt idx="0">
                  <c:v>10</c:v>
                </c:pt>
                <c:pt idx="1">
                  <c:v>15</c:v>
                </c:pt>
                <c:pt idx="2">
                  <c:v>25</c:v>
                </c:pt>
                <c:pt idx="3">
                  <c:v>40</c:v>
                </c:pt>
                <c:pt idx="4">
                  <c:v>65</c:v>
                </c:pt>
                <c:pt idx="5">
                  <c:v>100</c:v>
                </c:pt>
                <c:pt idx="6">
                  <c:v>150</c:v>
                </c:pt>
                <c:pt idx="7">
                  <c:v>250</c:v>
                </c:pt>
                <c:pt idx="8">
                  <c:v>400</c:v>
                </c:pt>
                <c:pt idx="9">
                  <c:v>650</c:v>
                </c:pt>
                <c:pt idx="10">
                  <c:v>1000</c:v>
                </c:pt>
                <c:pt idx="11">
                  <c:v>1500</c:v>
                </c:pt>
                <c:pt idx="12">
                  <c:v>2500</c:v>
                </c:pt>
                <c:pt idx="13">
                  <c:v>4000</c:v>
                </c:pt>
                <c:pt idx="14">
                  <c:v>6500</c:v>
                </c:pt>
                <c:pt idx="15">
                  <c:v>10000</c:v>
                </c:pt>
                <c:pt idx="16">
                  <c:v>15000</c:v>
                </c:pt>
                <c:pt idx="17">
                  <c:v>25000</c:v>
                </c:pt>
                <c:pt idx="18">
                  <c:v>40000</c:v>
                </c:pt>
                <c:pt idx="19">
                  <c:v>65000</c:v>
                </c:pt>
                <c:pt idx="20">
                  <c:v>100000</c:v>
                </c:pt>
              </c:numCache>
            </c:numRef>
          </c:xVal>
          <c:yVal>
            <c:numRef>
              <c:f>Sheet1!$C$2:$C$22</c:f>
              <c:numCache>
                <c:formatCode>General</c:formatCode>
                <c:ptCount val="21"/>
                <c:pt idx="0" formatCode="0.00">
                  <c:v>1.0019992003198721</c:v>
                </c:pt>
                <c:pt idx="1">
                  <c:v>1.0015993602558977</c:v>
                </c:pt>
                <c:pt idx="2">
                  <c:v>1.0011995201919233</c:v>
                </c:pt>
                <c:pt idx="3">
                  <c:v>1.0007996801279488</c:v>
                </c:pt>
                <c:pt idx="4">
                  <c:v>0.99960015993602558</c:v>
                </c:pt>
                <c:pt idx="5">
                  <c:v>0.99760095961615358</c:v>
                </c:pt>
                <c:pt idx="6">
                  <c:v>0.99280287884846075</c:v>
                </c:pt>
                <c:pt idx="7">
                  <c:v>0.97920831667333064</c:v>
                </c:pt>
                <c:pt idx="8">
                  <c:v>0.9508196721311476</c:v>
                </c:pt>
                <c:pt idx="9">
                  <c:v>0.89653751030502871</c:v>
                </c:pt>
                <c:pt idx="10">
                  <c:v>0.79286582894203483</c:v>
                </c:pt>
                <c:pt idx="11">
                  <c:v>0.6627097830536226</c:v>
                </c:pt>
                <c:pt idx="12">
                  <c:v>0.47932175351530187</c:v>
                </c:pt>
                <c:pt idx="13">
                  <c:v>0.33326403326403331</c:v>
                </c:pt>
                <c:pt idx="14">
                  <c:v>0.23006200555911913</c:v>
                </c:pt>
                <c:pt idx="15">
                  <c:v>0.1498956158663883</c:v>
                </c:pt>
                <c:pt idx="16">
                  <c:v>0.10451505016722408</c:v>
                </c:pt>
                <c:pt idx="17">
                  <c:v>6.6081137599330819E-2</c:v>
                </c:pt>
                <c:pt idx="18">
                  <c:v>4.2105263157894736E-2</c:v>
                </c:pt>
                <c:pt idx="19">
                  <c:v>2.6793431287813311E-2</c:v>
                </c:pt>
                <c:pt idx="20">
                  <c:v>1.6656124815517603E-2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A1-45B0-9270-258590AE4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5554160"/>
        <c:axId val="1"/>
      </c:scatterChart>
      <c:valAx>
        <c:axId val="1965554160"/>
        <c:scaling>
          <c:logBase val="10"/>
          <c:orientation val="minMax"/>
          <c:min val="1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50" b="1" i="0" u="none" strike="noStrike" baseline="0">
                    <a:solidFill>
                      <a:srgbClr val="000000"/>
                    </a:solidFill>
                    <a:latin typeface="Helv"/>
                    <a:ea typeface="Helv"/>
                    <a:cs typeface="Helv"/>
                  </a:defRPr>
                </a:pPr>
                <a:r>
                  <a:rPr lang="en-US"/>
                  <a:t>frequency (Hz)</a:t>
                </a:r>
              </a:p>
            </c:rich>
          </c:tx>
          <c:layout>
            <c:manualLayout>
              <c:xMode val="edge"/>
              <c:yMode val="edge"/>
              <c:x val="0.38874015748031493"/>
              <c:y val="0.934784605728631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in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Helv"/>
                <a:ea typeface="Helv"/>
                <a:cs typeface="Helv"/>
              </a:defRPr>
            </a:pPr>
            <a:endParaRPr lang="en-US"/>
          </a:p>
        </c:txPr>
        <c:crossAx val="1"/>
        <c:crossesAt val="0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25" b="1" i="0" u="none" strike="noStrike" baseline="0">
                    <a:solidFill>
                      <a:srgbClr val="000000"/>
                    </a:solidFill>
                    <a:latin typeface="Helv"/>
                    <a:ea typeface="Helv"/>
                    <a:cs typeface="Helv"/>
                  </a:defRPr>
                </a:pPr>
                <a:r>
                  <a:rPr lang="en-US"/>
                  <a:t>vo/vs</a:t>
                </a:r>
              </a:p>
            </c:rich>
          </c:tx>
          <c:layout>
            <c:manualLayout>
              <c:xMode val="edge"/>
              <c:yMode val="edge"/>
              <c:x val="1.6085790884718499E-2"/>
              <c:y val="0.4492762181901175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in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Helv"/>
                <a:ea typeface="Helv"/>
                <a:cs typeface="Helv"/>
              </a:defRPr>
            </a:pPr>
            <a:endParaRPr lang="en-US"/>
          </a:p>
        </c:txPr>
        <c:crossAx val="1965554160"/>
        <c:crosses val="autoZero"/>
        <c:crossBetween val="midCat"/>
      </c:valAx>
      <c:spPr>
        <a:noFill/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6668891842492128"/>
          <c:y val="0.12717191483791709"/>
          <c:w val="0.32462957138991266"/>
          <c:h val="9.5378936128437813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25" b="1" i="0" u="none" strike="noStrike" baseline="0">
                <a:solidFill>
                  <a:srgbClr val="000000"/>
                </a:solidFill>
                <a:latin typeface="Helv"/>
                <a:ea typeface="Helv"/>
                <a:cs typeface="Helv"/>
              </a:defRPr>
            </a:pPr>
            <a:r>
              <a:rPr lang="en-US"/>
              <a:t>phase response</a:t>
            </a:r>
          </a:p>
        </c:rich>
      </c:tx>
      <c:layout>
        <c:manualLayout>
          <c:xMode val="edge"/>
          <c:yMode val="edge"/>
          <c:x val="7.4666876640419946E-2"/>
          <c:y val="5.53505535055350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66689236147844"/>
          <c:y val="0.17712209035201357"/>
          <c:w val="0.69866780382129523"/>
          <c:h val="0.67527796946705176"/>
        </c:manualLayout>
      </c:layout>
      <c:scatterChart>
        <c:scatterStyle val="lineMarker"/>
        <c:varyColors val="0"/>
        <c:ser>
          <c:idx val="5"/>
          <c:order val="0"/>
          <c:tx>
            <c:v>calculated</c:v>
          </c:tx>
          <c:spPr>
            <a:ln w="25400">
              <a:solidFill>
                <a:srgbClr val="000090"/>
              </a:solidFill>
              <a:prstDash val="solid"/>
            </a:ln>
          </c:spPr>
          <c:marker>
            <c:symbol val="none"/>
          </c:marker>
          <c:xVal>
            <c:numRef>
              <c:f>Sheet1!$A$2:$A$22</c:f>
              <c:numCache>
                <c:formatCode>General</c:formatCode>
                <c:ptCount val="21"/>
                <c:pt idx="0">
                  <c:v>10</c:v>
                </c:pt>
                <c:pt idx="1">
                  <c:v>15</c:v>
                </c:pt>
                <c:pt idx="2">
                  <c:v>25</c:v>
                </c:pt>
                <c:pt idx="3">
                  <c:v>40</c:v>
                </c:pt>
                <c:pt idx="4">
                  <c:v>65</c:v>
                </c:pt>
                <c:pt idx="5">
                  <c:v>100</c:v>
                </c:pt>
                <c:pt idx="6">
                  <c:v>150</c:v>
                </c:pt>
                <c:pt idx="7">
                  <c:v>250</c:v>
                </c:pt>
                <c:pt idx="8">
                  <c:v>400</c:v>
                </c:pt>
                <c:pt idx="9">
                  <c:v>650</c:v>
                </c:pt>
                <c:pt idx="10">
                  <c:v>1000</c:v>
                </c:pt>
                <c:pt idx="11">
                  <c:v>1500</c:v>
                </c:pt>
                <c:pt idx="12">
                  <c:v>2500</c:v>
                </c:pt>
                <c:pt idx="13">
                  <c:v>4000</c:v>
                </c:pt>
                <c:pt idx="14">
                  <c:v>6500</c:v>
                </c:pt>
                <c:pt idx="15">
                  <c:v>10000</c:v>
                </c:pt>
                <c:pt idx="16">
                  <c:v>15000</c:v>
                </c:pt>
                <c:pt idx="17">
                  <c:v>25000</c:v>
                </c:pt>
                <c:pt idx="18">
                  <c:v>40000</c:v>
                </c:pt>
                <c:pt idx="19">
                  <c:v>65000</c:v>
                </c:pt>
                <c:pt idx="20">
                  <c:v>100000</c:v>
                </c:pt>
              </c:numCache>
            </c:numRef>
          </c:xVal>
          <c:yVal>
            <c:numRef>
              <c:f>Sheet1!$D$2:$D$22</c:f>
              <c:numCache>
                <c:formatCode>General</c:formatCode>
                <c:ptCount val="21"/>
                <c:pt idx="0">
                  <c:v>-0.35999495863511222</c:v>
                </c:pt>
                <c:pt idx="1">
                  <c:v>-0.5399835560149755</c:v>
                </c:pt>
                <c:pt idx="2">
                  <c:v>-0.89992522891362969</c:v>
                </c:pt>
                <c:pt idx="3">
                  <c:v>-1.4396957050612591</c:v>
                </c:pt>
                <c:pt idx="4">
                  <c:v>-2.3386983159997303</c:v>
                </c:pt>
                <c:pt idx="5">
                  <c:v>-3.5952707510356023</c:v>
                </c:pt>
                <c:pt idx="6">
                  <c:v>-5.3840913963673289</c:v>
                </c:pt>
                <c:pt idx="7">
                  <c:v>-8.9270474500395149</c:v>
                </c:pt>
                <c:pt idx="8">
                  <c:v>-14.107790931075334</c:v>
                </c:pt>
                <c:pt idx="9">
                  <c:v>-22.215433465497195</c:v>
                </c:pt>
                <c:pt idx="10">
                  <c:v>-32.141885834186766</c:v>
                </c:pt>
                <c:pt idx="11">
                  <c:v>-43.303783151725625</c:v>
                </c:pt>
                <c:pt idx="12">
                  <c:v>-57.518341485328399</c:v>
                </c:pt>
                <c:pt idx="13">
                  <c:v>-68.302999404267098</c:v>
                </c:pt>
                <c:pt idx="14">
                  <c:v>-76.241592946607838</c:v>
                </c:pt>
                <c:pt idx="15">
                  <c:v>-80.956931408829675</c:v>
                </c:pt>
                <c:pt idx="16">
                  <c:v>-83.943384327990117</c:v>
                </c:pt>
                <c:pt idx="17">
                  <c:v>-86.357350043746791</c:v>
                </c:pt>
                <c:pt idx="18">
                  <c:v>-87.721473348817355</c:v>
                </c:pt>
                <c:pt idx="19">
                  <c:v>-88.597370381975509</c:v>
                </c:pt>
                <c:pt idx="20">
                  <c:v>-89.088185560339497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E2-4891-A6AD-B0F6891BE309}"/>
            </c:ext>
          </c:extLst>
        </c:ser>
        <c:ser>
          <c:idx val="6"/>
          <c:order val="1"/>
          <c:tx>
            <c:v>measured</c:v>
          </c:tx>
          <c:spPr>
            <a:ln w="25400">
              <a:solidFill>
                <a:srgbClr val="DD0806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DD0806"/>
              </a:solidFill>
              <a:ln>
                <a:solidFill>
                  <a:srgbClr val="DD0806"/>
                </a:solidFill>
                <a:prstDash val="solid"/>
              </a:ln>
            </c:spPr>
          </c:marker>
          <c:xVal>
            <c:numRef>
              <c:f>Sheet1!$A$2:$A$22</c:f>
              <c:numCache>
                <c:formatCode>General</c:formatCode>
                <c:ptCount val="21"/>
                <c:pt idx="0">
                  <c:v>10</c:v>
                </c:pt>
                <c:pt idx="1">
                  <c:v>15</c:v>
                </c:pt>
                <c:pt idx="2">
                  <c:v>25</c:v>
                </c:pt>
                <c:pt idx="3">
                  <c:v>40</c:v>
                </c:pt>
                <c:pt idx="4">
                  <c:v>65</c:v>
                </c:pt>
                <c:pt idx="5">
                  <c:v>100</c:v>
                </c:pt>
                <c:pt idx="6">
                  <c:v>150</c:v>
                </c:pt>
                <c:pt idx="7">
                  <c:v>250</c:v>
                </c:pt>
                <c:pt idx="8">
                  <c:v>400</c:v>
                </c:pt>
                <c:pt idx="9">
                  <c:v>650</c:v>
                </c:pt>
                <c:pt idx="10">
                  <c:v>1000</c:v>
                </c:pt>
                <c:pt idx="11">
                  <c:v>1500</c:v>
                </c:pt>
                <c:pt idx="12">
                  <c:v>2500</c:v>
                </c:pt>
                <c:pt idx="13">
                  <c:v>4000</c:v>
                </c:pt>
                <c:pt idx="14">
                  <c:v>6500</c:v>
                </c:pt>
                <c:pt idx="15">
                  <c:v>10000</c:v>
                </c:pt>
                <c:pt idx="16">
                  <c:v>15000</c:v>
                </c:pt>
                <c:pt idx="17">
                  <c:v>25000</c:v>
                </c:pt>
                <c:pt idx="18">
                  <c:v>40000</c:v>
                </c:pt>
                <c:pt idx="19">
                  <c:v>65000</c:v>
                </c:pt>
                <c:pt idx="20">
                  <c:v>100000</c:v>
                </c:pt>
              </c:numCache>
            </c:numRef>
          </c:xVal>
          <c:yVal>
            <c:numRef>
              <c:f>Sheet1!$E$2:$E$22</c:f>
              <c:numCache>
                <c:formatCode>General</c:formatCode>
                <c:ptCount val="21"/>
                <c:pt idx="0">
                  <c:v>-0.1</c:v>
                </c:pt>
                <c:pt idx="1">
                  <c:v>-0.3</c:v>
                </c:pt>
                <c:pt idx="2">
                  <c:v>-0.85</c:v>
                </c:pt>
                <c:pt idx="3">
                  <c:v>-1.33</c:v>
                </c:pt>
                <c:pt idx="4">
                  <c:v>-2.4</c:v>
                </c:pt>
                <c:pt idx="5">
                  <c:v>-4</c:v>
                </c:pt>
                <c:pt idx="6">
                  <c:v>-6.2</c:v>
                </c:pt>
                <c:pt idx="7">
                  <c:v>-10.3</c:v>
                </c:pt>
                <c:pt idx="8">
                  <c:v>-16.399999999999999</c:v>
                </c:pt>
                <c:pt idx="9">
                  <c:v>-25.2</c:v>
                </c:pt>
                <c:pt idx="10">
                  <c:v>-35.9</c:v>
                </c:pt>
                <c:pt idx="11">
                  <c:v>-46.9</c:v>
                </c:pt>
                <c:pt idx="12">
                  <c:v>-58.9</c:v>
                </c:pt>
                <c:pt idx="13">
                  <c:v>-67.8</c:v>
                </c:pt>
                <c:pt idx="14">
                  <c:v>-74.900000000000006</c:v>
                </c:pt>
                <c:pt idx="15">
                  <c:v>-78</c:v>
                </c:pt>
                <c:pt idx="16">
                  <c:v>-81</c:v>
                </c:pt>
                <c:pt idx="17">
                  <c:v>-83</c:v>
                </c:pt>
                <c:pt idx="18">
                  <c:v>-84.5</c:v>
                </c:pt>
                <c:pt idx="19">
                  <c:v>-85</c:v>
                </c:pt>
                <c:pt idx="20">
                  <c:v>-85.9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E2-4891-A6AD-B0F6891BE3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3199520"/>
        <c:axId val="1"/>
      </c:scatterChart>
      <c:valAx>
        <c:axId val="2103199520"/>
        <c:scaling>
          <c:logBase val="10"/>
          <c:orientation val="minMax"/>
          <c:min val="1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Helv"/>
                    <a:ea typeface="Helv"/>
                    <a:cs typeface="Helv"/>
                  </a:defRPr>
                </a:pPr>
                <a:r>
                  <a:rPr lang="en-US"/>
                  <a:t>frequency (Hz)</a:t>
                </a:r>
              </a:p>
            </c:rich>
          </c:tx>
          <c:layout>
            <c:manualLayout>
              <c:xMode val="edge"/>
              <c:yMode val="edge"/>
              <c:x val="0.40266729658792649"/>
              <c:y val="0.933581079117877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Helv"/>
                <a:ea typeface="Helv"/>
                <a:cs typeface="Helv"/>
              </a:defRPr>
            </a:pPr>
            <a:endParaRPr lang="en-US"/>
          </a:p>
        </c:txPr>
        <c:crossAx val="1"/>
        <c:crossesAt val="-90"/>
        <c:crossBetween val="midCat"/>
      </c:valAx>
      <c:valAx>
        <c:axId val="1"/>
        <c:scaling>
          <c:orientation val="minMax"/>
          <c:max val="0"/>
          <c:min val="-9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875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</a:rPr>
                  <a:t>relative phase (°)</a:t>
                </a:r>
              </a:p>
            </c:rich>
          </c:tx>
          <c:layout>
            <c:manualLayout>
              <c:xMode val="edge"/>
              <c:yMode val="edge"/>
              <c:x val="2.9333333333333333E-2"/>
              <c:y val="0.3468640497428596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Helv"/>
                <a:ea typeface="Helv"/>
                <a:cs typeface="Helv"/>
              </a:defRPr>
            </a:pPr>
            <a:endParaRPr lang="en-US"/>
          </a:p>
        </c:txPr>
        <c:crossAx val="2103199520"/>
        <c:crosses val="autoZero"/>
        <c:crossBetween val="midCat"/>
      </c:valAx>
      <c:spPr>
        <a:noFill/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0501115151071136"/>
          <c:y val="9.2817560015701558E-2"/>
          <c:w val="0.27115813519642745"/>
          <c:h val="9.880578969413392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15" b="0" i="0" u="none" strike="noStrike" baseline="0">
              <a:solidFill>
                <a:srgbClr val="000000"/>
              </a:solidFill>
              <a:latin typeface="Helv"/>
              <a:ea typeface="Helv"/>
              <a:cs typeface="Helv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447675</xdr:colOff>
      <xdr:row>0</xdr:row>
      <xdr:rowOff>180975</xdr:rowOff>
    </xdr:from>
    <xdr:to>
      <xdr:col>12</xdr:col>
      <xdr:colOff>247650</xdr:colOff>
      <xdr:row>21</xdr:row>
      <xdr:rowOff>85725</xdr:rowOff>
    </xdr:to>
    <xdr:graphicFrame macro="">
      <xdr:nvGraphicFramePr>
        <xdr:cNvPr id="1039" name="Chart 1">
          <a:extLst>
            <a:ext uri="{FF2B5EF4-FFF2-40B4-BE49-F238E27FC236}">
              <a16:creationId xmlns:a16="http://schemas.microsoft.com/office/drawing/2014/main" id="{631BEE10-4D22-4665-AB43-8C12356BA0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447675</xdr:colOff>
      <xdr:row>22</xdr:row>
      <xdr:rowOff>19050</xdr:rowOff>
    </xdr:from>
    <xdr:to>
      <xdr:col>12</xdr:col>
      <xdr:colOff>266700</xdr:colOff>
      <xdr:row>43</xdr:row>
      <xdr:rowOff>0</xdr:rowOff>
    </xdr:to>
    <xdr:graphicFrame macro="">
      <xdr:nvGraphicFramePr>
        <xdr:cNvPr id="1040" name="Chart 2">
          <a:extLst>
            <a:ext uri="{FF2B5EF4-FFF2-40B4-BE49-F238E27FC236}">
              <a16:creationId xmlns:a16="http://schemas.microsoft.com/office/drawing/2014/main" id="{4081F2DF-32D9-4AE3-887E-4E5E224B9B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abSelected="1" zoomScaleNormal="100" workbookViewId="0">
      <selection activeCell="D25" sqref="D25"/>
    </sheetView>
  </sheetViews>
  <sheetFormatPr defaultRowHeight="12"/>
  <cols>
    <col min="1" max="2" width="13.28515625" style="2" customWidth="1"/>
    <col min="3" max="3" width="13.28515625" style="1" customWidth="1"/>
    <col min="4" max="5" width="11.85546875" style="2" customWidth="1"/>
    <col min="6" max="256" width="11.42578125" customWidth="1"/>
  </cols>
  <sheetData>
    <row r="1" spans="1:5" ht="27" customHeight="1">
      <c r="A1" s="3" t="s">
        <v>0</v>
      </c>
      <c r="B1" s="6" t="s">
        <v>1</v>
      </c>
      <c r="C1" s="6" t="s">
        <v>4</v>
      </c>
      <c r="D1" s="6" t="s">
        <v>2</v>
      </c>
      <c r="E1" s="6" t="s">
        <v>3</v>
      </c>
    </row>
    <row r="2" spans="1:5" ht="12" customHeight="1">
      <c r="A2" s="5">
        <v>10</v>
      </c>
      <c r="B2" s="5">
        <f>1/(SQRT(1+((2*3.14159*A2)*1000*0.0000001)^2))</f>
        <v>0.99998026140897722</v>
      </c>
      <c r="C2" s="4">
        <v>1.0019992003198721</v>
      </c>
      <c r="D2" s="5">
        <f>DEGREES(-ATAN((2*3.14159*A2)*1000*0.0000001))</f>
        <v>-0.35999495863511222</v>
      </c>
      <c r="E2" s="5">
        <v>-0.1</v>
      </c>
    </row>
    <row r="3" spans="1:5" ht="12" customHeight="1">
      <c r="A3" s="5">
        <v>15</v>
      </c>
      <c r="B3" s="5">
        <f t="shared" ref="B3:B22" si="0">1/(SQRT(1+((2*3.14159*A3)*1000*0.0000001)^2))</f>
        <v>0.99995558981379573</v>
      </c>
      <c r="C3">
        <v>1.0015993602558977</v>
      </c>
      <c r="D3" s="5">
        <f t="shared" ref="D3:D22" si="1">DEGREES(-ATAN((2*3.14159*A3)*1000*0.0000001))</f>
        <v>-0.5399835560149755</v>
      </c>
      <c r="E3">
        <v>-0.3</v>
      </c>
    </row>
    <row r="4" spans="1:5" ht="12" customHeight="1">
      <c r="A4" s="5">
        <v>25</v>
      </c>
      <c r="B4" s="5">
        <f t="shared" si="0"/>
        <v>0.99987665297888417</v>
      </c>
      <c r="C4">
        <v>1.0011995201919233</v>
      </c>
      <c r="D4" s="5">
        <f t="shared" si="1"/>
        <v>-0.89992522891362969</v>
      </c>
      <c r="E4">
        <v>-0.85</v>
      </c>
    </row>
    <row r="5" spans="1:5" ht="12" customHeight="1">
      <c r="A5" s="5">
        <v>40</v>
      </c>
      <c r="B5" s="5">
        <f t="shared" si="0"/>
        <v>0.99968432273384611</v>
      </c>
      <c r="C5">
        <v>1.0007996801279488</v>
      </c>
      <c r="D5" s="5">
        <f t="shared" si="1"/>
        <v>-1.4396957050612591</v>
      </c>
      <c r="E5">
        <v>-1.33</v>
      </c>
    </row>
    <row r="6" spans="1:5">
      <c r="A6" s="2">
        <v>65</v>
      </c>
      <c r="B6" s="5">
        <f t="shared" si="0"/>
        <v>0.99916706167332636</v>
      </c>
      <c r="C6">
        <v>0.99960015993602558</v>
      </c>
      <c r="D6" s="5">
        <f t="shared" si="1"/>
        <v>-2.3386983159997303</v>
      </c>
      <c r="E6">
        <v>-2.4</v>
      </c>
    </row>
    <row r="7" spans="1:5">
      <c r="A7" s="2">
        <v>100</v>
      </c>
      <c r="B7" s="5">
        <f t="shared" si="0"/>
        <v>0.99803190781859308</v>
      </c>
      <c r="C7">
        <v>0.99760095961615358</v>
      </c>
      <c r="D7" s="5">
        <f t="shared" si="1"/>
        <v>-3.5952707510356023</v>
      </c>
      <c r="E7">
        <v>-4</v>
      </c>
    </row>
    <row r="8" spans="1:5">
      <c r="A8" s="2">
        <v>150</v>
      </c>
      <c r="B8" s="5">
        <f t="shared" si="0"/>
        <v>0.99558805610717804</v>
      </c>
      <c r="C8">
        <v>0.99280287884846075</v>
      </c>
      <c r="D8" s="5">
        <f t="shared" si="1"/>
        <v>-5.3840913963673289</v>
      </c>
      <c r="E8">
        <v>-6.2</v>
      </c>
    </row>
    <row r="9" spans="1:5">
      <c r="A9" s="2">
        <v>250</v>
      </c>
      <c r="B9" s="5">
        <f t="shared" si="0"/>
        <v>0.9878867220131875</v>
      </c>
      <c r="C9">
        <v>0.97920831667333064</v>
      </c>
      <c r="D9" s="5">
        <f t="shared" si="1"/>
        <v>-8.9270474500395149</v>
      </c>
      <c r="E9">
        <v>-10.3</v>
      </c>
    </row>
    <row r="10" spans="1:5">
      <c r="A10" s="2">
        <v>400</v>
      </c>
      <c r="B10" s="5">
        <f t="shared" si="0"/>
        <v>0.96983888018277864</v>
      </c>
      <c r="C10">
        <v>0.9508196721311476</v>
      </c>
      <c r="D10" s="5">
        <f t="shared" si="1"/>
        <v>-14.107790931075334</v>
      </c>
      <c r="E10">
        <v>-16.399999999999999</v>
      </c>
    </row>
    <row r="11" spans="1:5">
      <c r="A11" s="2">
        <v>650</v>
      </c>
      <c r="B11" s="5">
        <f t="shared" si="0"/>
        <v>0.92576877421844106</v>
      </c>
      <c r="C11">
        <v>0.89653751030502871</v>
      </c>
      <c r="D11" s="5">
        <f t="shared" si="1"/>
        <v>-22.215433465497195</v>
      </c>
      <c r="E11">
        <v>-25.2</v>
      </c>
    </row>
    <row r="12" spans="1:5">
      <c r="A12" s="2">
        <v>1000</v>
      </c>
      <c r="B12" s="5">
        <f t="shared" si="0"/>
        <v>0.84673321839866744</v>
      </c>
      <c r="C12">
        <v>0.79286582894203483</v>
      </c>
      <c r="D12" s="5">
        <f t="shared" si="1"/>
        <v>-32.141885834186766</v>
      </c>
      <c r="E12">
        <v>-35.9</v>
      </c>
    </row>
    <row r="13" spans="1:5">
      <c r="A13" s="2">
        <v>1500</v>
      </c>
      <c r="B13" s="5">
        <f t="shared" si="0"/>
        <v>0.72772747254541437</v>
      </c>
      <c r="C13">
        <v>0.6627097830536226</v>
      </c>
      <c r="D13" s="5">
        <f t="shared" si="1"/>
        <v>-43.303783151725625</v>
      </c>
      <c r="E13">
        <v>-46.9</v>
      </c>
    </row>
    <row r="14" spans="1:5">
      <c r="A14" s="2">
        <v>2500</v>
      </c>
      <c r="B14" s="5">
        <f t="shared" si="0"/>
        <v>0.53702959493459212</v>
      </c>
      <c r="C14">
        <v>0.47932175351530187</v>
      </c>
      <c r="D14" s="5">
        <f t="shared" si="1"/>
        <v>-57.518341485328399</v>
      </c>
      <c r="E14">
        <v>-58.9</v>
      </c>
    </row>
    <row r="15" spans="1:5">
      <c r="A15" s="2">
        <v>4000</v>
      </c>
      <c r="B15" s="5">
        <f t="shared" si="0"/>
        <v>0.36969811716018608</v>
      </c>
      <c r="C15">
        <v>0.33326403326403331</v>
      </c>
      <c r="D15" s="5">
        <f t="shared" si="1"/>
        <v>-68.302999404267098</v>
      </c>
      <c r="E15">
        <v>-67.8</v>
      </c>
    </row>
    <row r="16" spans="1:5">
      <c r="A16" s="2">
        <v>6500</v>
      </c>
      <c r="B16" s="5">
        <f t="shared" si="0"/>
        <v>0.23782841552913117</v>
      </c>
      <c r="C16">
        <v>0.23006200555911913</v>
      </c>
      <c r="D16" s="5">
        <f t="shared" si="1"/>
        <v>-76.241592946607838</v>
      </c>
      <c r="E16">
        <v>-74.900000000000006</v>
      </c>
    </row>
    <row r="17" spans="1:5">
      <c r="A17" s="2">
        <v>10000</v>
      </c>
      <c r="B17" s="5">
        <f t="shared" si="0"/>
        <v>0.15717685495938608</v>
      </c>
      <c r="C17">
        <v>0.1498956158663883</v>
      </c>
      <c r="D17" s="5">
        <f t="shared" si="1"/>
        <v>-80.956931408829675</v>
      </c>
      <c r="E17">
        <v>-78</v>
      </c>
    </row>
    <row r="18" spans="1:5">
      <c r="A18" s="2">
        <v>15000</v>
      </c>
      <c r="B18" s="5">
        <f t="shared" si="0"/>
        <v>0.10551112888280903</v>
      </c>
      <c r="C18">
        <v>0.10451505016722408</v>
      </c>
      <c r="D18" s="5">
        <f t="shared" si="1"/>
        <v>-83.943384327990117</v>
      </c>
      <c r="E18">
        <v>-81</v>
      </c>
    </row>
    <row r="19" spans="1:5">
      <c r="A19" s="2">
        <v>25000</v>
      </c>
      <c r="B19" s="5">
        <f t="shared" si="0"/>
        <v>6.3533415358731735E-2</v>
      </c>
      <c r="C19">
        <v>6.6081137599330819E-2</v>
      </c>
      <c r="D19" s="5">
        <f t="shared" si="1"/>
        <v>-86.357350043746791</v>
      </c>
      <c r="E19">
        <v>-83</v>
      </c>
    </row>
    <row r="20" spans="1:5">
      <c r="A20" s="2">
        <v>40000</v>
      </c>
      <c r="B20" s="5">
        <f t="shared" si="0"/>
        <v>3.9757311009681023E-2</v>
      </c>
      <c r="C20">
        <v>4.2105263157894736E-2</v>
      </c>
      <c r="D20" s="5">
        <f t="shared" si="1"/>
        <v>-87.721473348817355</v>
      </c>
      <c r="E20">
        <v>-84.5</v>
      </c>
    </row>
    <row r="21" spans="1:5">
      <c r="A21" s="2">
        <v>65000</v>
      </c>
      <c r="B21" s="5">
        <f t="shared" si="0"/>
        <v>2.4478059919228759E-2</v>
      </c>
      <c r="C21">
        <v>2.6793431287813311E-2</v>
      </c>
      <c r="D21" s="5">
        <f t="shared" si="1"/>
        <v>-88.597370381975509</v>
      </c>
      <c r="E21">
        <v>-85</v>
      </c>
    </row>
    <row r="22" spans="1:5">
      <c r="A22" s="2">
        <v>100000</v>
      </c>
      <c r="B22" s="5">
        <f t="shared" si="0"/>
        <v>1.5913492409295779E-2</v>
      </c>
      <c r="C22">
        <v>1.6656124815517603E-2</v>
      </c>
      <c r="D22" s="5">
        <f t="shared" si="1"/>
        <v>-89.088185560339497</v>
      </c>
      <c r="E22">
        <v>-85.9</v>
      </c>
    </row>
    <row r="23" spans="1:5">
      <c r="B23"/>
      <c r="C23"/>
      <c r="D23"/>
      <c r="E23"/>
    </row>
    <row r="24" spans="1:5">
      <c r="B24"/>
      <c r="C24"/>
      <c r="D24"/>
      <c r="E24"/>
    </row>
    <row r="25" spans="1:5">
      <c r="B25" s="4"/>
      <c r="C25"/>
      <c r="D25"/>
      <c r="E25"/>
    </row>
    <row r="26" spans="1:5">
      <c r="B26"/>
      <c r="C26"/>
      <c r="D26"/>
      <c r="E26"/>
    </row>
    <row r="27" spans="1:5">
      <c r="A27" s="2">
        <v>650</v>
      </c>
      <c r="B27">
        <v>2.1749999999999998</v>
      </c>
      <c r="C27">
        <v>2.4260000000000002</v>
      </c>
      <c r="D27"/>
      <c r="E27"/>
    </row>
    <row r="28" spans="1:5">
      <c r="A28" s="2">
        <v>1000</v>
      </c>
      <c r="B28">
        <v>1.956</v>
      </c>
      <c r="C28">
        <v>2.4670000000000001</v>
      </c>
      <c r="D28"/>
      <c r="E28"/>
    </row>
    <row r="29" spans="1:5">
      <c r="A29" s="2">
        <v>1500</v>
      </c>
      <c r="B29">
        <v>1.619</v>
      </c>
      <c r="C29">
        <v>2.4430000000000001</v>
      </c>
      <c r="D29"/>
      <c r="E29"/>
    </row>
    <row r="30" spans="1:5">
      <c r="A30" s="2">
        <v>2500</v>
      </c>
      <c r="B30">
        <v>1.159</v>
      </c>
      <c r="C30">
        <v>2.4180000000000001</v>
      </c>
      <c r="D30"/>
      <c r="E30"/>
    </row>
    <row r="31" spans="1:5">
      <c r="A31" s="2">
        <v>4000</v>
      </c>
      <c r="B31">
        <v>0.80149999999999999</v>
      </c>
      <c r="C31">
        <v>2.4049999999999998</v>
      </c>
      <c r="D31"/>
      <c r="E31"/>
    </row>
    <row r="32" spans="1:5">
      <c r="A32" s="2">
        <v>6500</v>
      </c>
      <c r="B32">
        <v>0.53800000000000003</v>
      </c>
      <c r="C32">
        <v>2.3384999999999998</v>
      </c>
      <c r="D32"/>
      <c r="E32"/>
    </row>
    <row r="33" spans="1:5">
      <c r="A33" s="2">
        <v>10000</v>
      </c>
      <c r="B33">
        <v>0.35899999999999999</v>
      </c>
      <c r="C33">
        <v>2.395</v>
      </c>
      <c r="D33"/>
      <c r="E33"/>
    </row>
    <row r="34" spans="1:5">
      <c r="A34" s="2">
        <v>15000</v>
      </c>
      <c r="B34">
        <v>0.25</v>
      </c>
      <c r="C34" s="1">
        <v>2.3919999999999999</v>
      </c>
      <c r="D34"/>
      <c r="E34"/>
    </row>
    <row r="35" spans="1:5">
      <c r="A35" s="2">
        <v>25000</v>
      </c>
      <c r="B35">
        <v>0.158</v>
      </c>
      <c r="C35" s="1">
        <v>2.391</v>
      </c>
      <c r="D35"/>
      <c r="E35"/>
    </row>
    <row r="36" spans="1:5">
      <c r="A36" s="2">
        <v>40000</v>
      </c>
      <c r="B36">
        <v>0.1</v>
      </c>
      <c r="C36" s="1">
        <v>2.375</v>
      </c>
      <c r="D36"/>
      <c r="E36"/>
    </row>
    <row r="37" spans="1:5">
      <c r="A37" s="2">
        <v>65000</v>
      </c>
      <c r="B37">
        <v>6.2E-2</v>
      </c>
      <c r="C37" s="1">
        <v>2.3140000000000001</v>
      </c>
      <c r="D37"/>
      <c r="E37"/>
    </row>
    <row r="38" spans="1:5">
      <c r="A38" s="2">
        <v>100000</v>
      </c>
      <c r="B38">
        <v>3.95E-2</v>
      </c>
      <c r="C38" s="1">
        <v>2.3715000000000002</v>
      </c>
      <c r="D38"/>
      <c r="E38"/>
    </row>
  </sheetData>
  <phoneticPr fontId="1" type="noConversion"/>
  <pageMargins left="0.75" right="0.75" top="1" bottom="1" header="0.5" footer="0.5"/>
  <pageSetup paperSize="0" scale="68" orientation="landscape" horizontalDpi="4294967292" verticalDpi="4294967292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"/>
  <cols>
    <col min="1" max="256" width="11.42578125" customWidth="1"/>
  </cols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"/>
  <cols>
    <col min="1" max="256" width="11.42578125" customWidth="1"/>
  </cols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Iowa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Tuttle</dc:creator>
  <cp:lastModifiedBy>Pridie, Isaiah R</cp:lastModifiedBy>
  <cp:lastPrinted>2001-01-16T07:43:08Z</cp:lastPrinted>
  <dcterms:created xsi:type="dcterms:W3CDTF">2001-01-16T05:18:44Z</dcterms:created>
  <dcterms:modified xsi:type="dcterms:W3CDTF">2025-09-24T17:12:14Z</dcterms:modified>
</cp:coreProperties>
</file>